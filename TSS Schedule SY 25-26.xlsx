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5" yWindow="-15" windowWidth="10320" windowHeight="7695" tabRatio="1000" activeTab="7"/>
  </bookViews>
  <sheets>
    <sheet name="ALMONTE" sheetId="1" r:id="rId1"/>
    <sheet name="DELA CRUZ" sheetId="5" r:id="rId2"/>
    <sheet name="CAVITT" sheetId="3" r:id="rId3"/>
    <sheet name="CENDANA" sheetId="4" r:id="rId4"/>
    <sheet name="GUINACARAN" sheetId="6" r:id="rId5"/>
    <sheet name="GUIRA" sheetId="7" r:id="rId6"/>
    <sheet name="GUEVARRA." sheetId="15" r:id="rId7"/>
    <sheet name="RENTON" sheetId="16" r:id="rId8"/>
  </sheets>
  <definedNames>
    <definedName name="_xlnm.Print_Area" localSheetId="0">ALMONTE!$A$1:$H$31</definedName>
    <definedName name="_xlnm.Print_Area" localSheetId="2">CAVITT!$A$1:$H$30</definedName>
    <definedName name="_xlnm.Print_Area" localSheetId="3">CENDANA!$A$1:$H$29</definedName>
    <definedName name="_xlnm.Print_Area" localSheetId="1">'DELA CRUZ'!$A$1:$H$28</definedName>
    <definedName name="_xlnm.Print_Area" localSheetId="6">GUEVARRA.!$A$1:$H$28</definedName>
    <definedName name="_xlnm.Print_Area" localSheetId="4">GUINACARAN!$A$1:$I$30</definedName>
    <definedName name="_xlnm.Print_Area" localSheetId="5">GUIRA!$A$1:$H$33</definedName>
    <definedName name="_xlnm.Print_Area" localSheetId="7">RENTON!$A$1:$I$30</definedName>
    <definedName name="_xlnm.Print_Titles" localSheetId="0">ALMONTE!$1:$12</definedName>
    <definedName name="_xlnm.Print_Titles" localSheetId="2">CAVITT!$1:$11</definedName>
    <definedName name="_xlnm.Print_Titles" localSheetId="3">CENDANA!$1:$10</definedName>
    <definedName name="_xlnm.Print_Titles" localSheetId="1">'DELA CRUZ'!$1:$11</definedName>
    <definedName name="_xlnm.Print_Titles" localSheetId="4">GUINACARAN!$1:$12</definedName>
    <definedName name="_xlnm.Print_Titles" localSheetId="5">GUIRA!$1:$11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6"/>
  <c r="D9" i="1"/>
  <c r="H24"/>
  <c r="H22"/>
  <c r="H18"/>
  <c r="H16"/>
  <c r="H13"/>
  <c r="H22" i="16"/>
  <c r="H20"/>
  <c r="H16"/>
  <c r="H14"/>
  <c r="H13"/>
  <c r="H20" i="15"/>
  <c r="H18"/>
  <c r="H16"/>
  <c r="H14"/>
  <c r="H12"/>
  <c r="H21" i="3"/>
  <c r="H18"/>
  <c r="H16"/>
  <c r="H14"/>
  <c r="H12"/>
  <c r="H19" i="5"/>
  <c r="H17"/>
  <c r="H16"/>
  <c r="H15"/>
  <c r="H13"/>
  <c r="H12"/>
  <c r="H21" i="4"/>
  <c r="H19"/>
  <c r="H17"/>
  <c r="H15"/>
  <c r="H12"/>
  <c r="H23" i="6"/>
  <c r="H21"/>
  <c r="H18"/>
  <c r="H16"/>
  <c r="H15"/>
  <c r="H13"/>
  <c r="H20" i="7"/>
  <c r="H24"/>
  <c r="H22"/>
  <c r="H16"/>
  <c r="H14"/>
  <c r="H12"/>
  <c r="A24" i="15" l="1"/>
  <c r="D9" i="16"/>
  <c r="D8" i="15"/>
  <c r="D9" i="6" l="1"/>
  <c r="D8" i="3"/>
  <c r="D8" i="5" l="1"/>
  <c r="D7" i="4"/>
  <c r="D8" i="7" l="1"/>
</calcChain>
</file>

<file path=xl/sharedStrings.xml><?xml version="1.0" encoding="utf-8"?>
<sst xmlns="http://schemas.openxmlformats.org/spreadsheetml/2006/main" count="527" uniqueCount="159">
  <si>
    <t>TIME</t>
  </si>
  <si>
    <t>No. of Minutes</t>
  </si>
  <si>
    <t>Teaching Minutes per Week</t>
  </si>
  <si>
    <t>TEACHER'S CLASS SCHEDULE</t>
  </si>
  <si>
    <t>Total Number of Minutes per Week:</t>
  </si>
  <si>
    <t>Name of Teacher:</t>
  </si>
  <si>
    <r>
      <t>(</t>
    </r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Homeroom classes are not included in the computation of total number of minutes.)</t>
    </r>
  </si>
  <si>
    <t>Prepared by:</t>
  </si>
  <si>
    <t>Approved by:</t>
  </si>
  <si>
    <t>School Head/Principal</t>
  </si>
  <si>
    <t>MONDAY</t>
  </si>
  <si>
    <t>TUESDAY</t>
  </si>
  <si>
    <t>WEDNESDAY</t>
  </si>
  <si>
    <t>THURSDAY</t>
  </si>
  <si>
    <t>FRIDAY</t>
  </si>
  <si>
    <t>Other Designation:</t>
  </si>
  <si>
    <t>MPU-FO-013</t>
  </si>
  <si>
    <t>Marriott School</t>
  </si>
  <si>
    <t>Teacher</t>
  </si>
  <si>
    <t>Mr. Rowell M. Almonte</t>
  </si>
  <si>
    <t xml:space="preserve">49 Santiago St. San Francisco Del Monte, Quezon City </t>
  </si>
  <si>
    <t>Mrs. Mary Rose F.Avellanosa</t>
  </si>
  <si>
    <t>Mr. Rowell M.  Almonte</t>
  </si>
  <si>
    <t>Mrs. Fe Mercedes M. Cavitt</t>
  </si>
  <si>
    <t>Mrs. Elenor C. Cendaña</t>
  </si>
  <si>
    <t>Ms. Rocelle T. De la Cruz</t>
  </si>
  <si>
    <t>Ms. Ma Nimfa Y. Guinacaran</t>
  </si>
  <si>
    <t>Faculty President</t>
  </si>
  <si>
    <t>Mrs. Mary Joyce E. Guira</t>
  </si>
  <si>
    <t>10:00-11:00</t>
  </si>
  <si>
    <t>VACANT</t>
  </si>
  <si>
    <t>12:50-1:10</t>
  </si>
  <si>
    <t>1:10-1:50</t>
  </si>
  <si>
    <t>8:10-8:50</t>
  </si>
  <si>
    <t>8:50-9:00</t>
  </si>
  <si>
    <t>3:10-4:00</t>
  </si>
  <si>
    <t>Ms. Racquel S. Vergara</t>
  </si>
  <si>
    <t>Total Number of Teaching Load/s:</t>
  </si>
  <si>
    <t>S/Y 2025-2026</t>
  </si>
  <si>
    <t>7:20-8:00</t>
  </si>
  <si>
    <t>8:00-8:10</t>
  </si>
  <si>
    <t>9:00-9:40</t>
  </si>
  <si>
    <t>9:40-10:30</t>
  </si>
  <si>
    <t>11:00-11:40</t>
  </si>
  <si>
    <t>11:40-12:50</t>
  </si>
  <si>
    <t>1:50-2:10</t>
  </si>
  <si>
    <t>2:10-2:50</t>
  </si>
  <si>
    <t>LIBRARY TIME</t>
  </si>
  <si>
    <t>A.Pan                         10-St. Anne</t>
  </si>
  <si>
    <t>A.Pan                                   7- St. Paul</t>
  </si>
  <si>
    <t>A.Pan                        9- St. Francis</t>
  </si>
  <si>
    <t>A.Pan                        10- St. John</t>
  </si>
  <si>
    <t>A.Pan                        8- St.Anthony</t>
  </si>
  <si>
    <t>8:00-8:50</t>
  </si>
  <si>
    <t>8:50-9:30</t>
  </si>
  <si>
    <t>9:30-10:40</t>
  </si>
  <si>
    <t>10:40-11:00</t>
  </si>
  <si>
    <t>11:40-11:50</t>
  </si>
  <si>
    <t>11:50-12:20</t>
  </si>
  <si>
    <t>12:30-1:10</t>
  </si>
  <si>
    <t>1:10-1:30</t>
  </si>
  <si>
    <t>1:30-2:10</t>
  </si>
  <si>
    <t>2:10-3:10</t>
  </si>
  <si>
    <t>MAPEH                      9- St. Francis</t>
  </si>
  <si>
    <t>MAPEH                      7- St.Paul</t>
  </si>
  <si>
    <t>MAPEH                      10-St. Anne</t>
  </si>
  <si>
    <t>MAPEH                      10-John</t>
  </si>
  <si>
    <t>MAPEH                      8- St. Anthony</t>
  </si>
  <si>
    <t>8:00-9:00</t>
  </si>
  <si>
    <t>9:00-9:20</t>
  </si>
  <si>
    <t>9:20-9:40</t>
  </si>
  <si>
    <t>9:40-10:40</t>
  </si>
  <si>
    <t>10:40-10:50</t>
  </si>
  <si>
    <t>10:50-11:50</t>
  </si>
  <si>
    <t>11:50-12:10</t>
  </si>
  <si>
    <t>12:10-1:10</t>
  </si>
  <si>
    <t>1:50-2:50</t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</si>
  <si>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  9- St.Francis</t>
    </r>
  </si>
  <si>
    <t>Supervised Recess</t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</si>
  <si>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8-St.Anthony</t>
    </r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</si>
  <si>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 7- St.Paul
</t>
    </r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</si>
  <si>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       7- St.Paul
</t>
    </r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</si>
  <si>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10- St. Anne
</t>
    </r>
  </si>
  <si>
    <r>
      <rPr>
        <sz val="14"/>
        <color theme="1"/>
        <rFont val="Arial Narrow"/>
        <family val="2"/>
      </rPr>
      <t>English</t>
    </r>
    <r>
      <rPr>
        <sz val="12"/>
        <color theme="1"/>
        <rFont val="Arial Narrow"/>
        <family val="2"/>
      </rPr>
      <t xml:space="preserve">                10- St. John
</t>
    </r>
  </si>
  <si>
    <t>7:20-8:20</t>
  </si>
  <si>
    <t>8:20-9:20</t>
  </si>
  <si>
    <t>9:20-9:50</t>
  </si>
  <si>
    <t>9:50-10:50</t>
  </si>
  <si>
    <t>12:20-1:10</t>
  </si>
  <si>
    <t>1:10-2:10</t>
  </si>
  <si>
    <t>SUPERVISED LUNCH</t>
  </si>
  <si>
    <t xml:space="preserve">MATH ENRICHMENT START JULY 2x a week (no supervised lunch) </t>
  </si>
  <si>
    <t xml:space="preserve">Math               8- St. Anthony
</t>
  </si>
  <si>
    <t xml:space="preserve">Math                8- St. Anthony
</t>
  </si>
  <si>
    <t xml:space="preserve">Math                       8- St. Anthony
</t>
  </si>
  <si>
    <t xml:space="preserve">Math               10- St. John
</t>
  </si>
  <si>
    <t xml:space="preserve">Math                       10- St. John
</t>
  </si>
  <si>
    <t xml:space="preserve">Math               7-St. Paul
</t>
  </si>
  <si>
    <t xml:space="preserve">Math               9-St. Francis
</t>
  </si>
  <si>
    <t xml:space="preserve">Math                         9-St. Francis
</t>
  </si>
  <si>
    <t xml:space="preserve">Math                          9-St. Francis
</t>
  </si>
  <si>
    <t>Math               10- St. Anne</t>
  </si>
  <si>
    <t>Math                           10- St. Anne</t>
  </si>
  <si>
    <t>7:20-8:10</t>
  </si>
  <si>
    <t>8:50-9:40</t>
  </si>
  <si>
    <t>9:40-10:00</t>
  </si>
  <si>
    <t>10:00-10:50</t>
  </si>
  <si>
    <t>10:50-11:10</t>
  </si>
  <si>
    <t>11:10-12:00</t>
  </si>
  <si>
    <t>12:00-12:30</t>
  </si>
  <si>
    <t>12:30-12:40</t>
  </si>
  <si>
    <t>12:40-1:30</t>
  </si>
  <si>
    <t>Supervised Lunch</t>
  </si>
  <si>
    <t>CL                          7-St.Paul</t>
  </si>
  <si>
    <t>CL                          10-St. Anne</t>
  </si>
  <si>
    <t>CL                          9-St.Francis</t>
  </si>
  <si>
    <t>CL                          10- St. John</t>
  </si>
  <si>
    <t>CL                         8- St. Anthony</t>
  </si>
  <si>
    <t>CL                             8- St. Anthony</t>
  </si>
  <si>
    <t>10:30-11:10</t>
  </si>
  <si>
    <t>11:10-11:30</t>
  </si>
  <si>
    <t>11:30-12:10</t>
  </si>
  <si>
    <t>12:10-12:20</t>
  </si>
  <si>
    <t>12:20-1:00</t>
  </si>
  <si>
    <t>1:00-1:20</t>
  </si>
  <si>
    <t>1:20-2:00</t>
  </si>
  <si>
    <t>2:00-2:10</t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</si>
  <si>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  10- St. John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</si>
  <si>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                        10- St. John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</si>
  <si>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 8- St.Anthony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</si>
  <si>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            8- St.Anthony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</si>
  <si>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 9-St. Francis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</si>
  <si>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7-St.Paul</t>
    </r>
  </si>
  <si>
    <r>
      <rPr>
        <sz val="14"/>
        <color theme="1"/>
        <rFont val="Arial Narrow"/>
        <family val="2"/>
      </rPr>
      <t>TLE</t>
    </r>
    <r>
      <rPr>
        <sz val="12"/>
        <color theme="1"/>
        <rFont val="Arial Narrow"/>
        <family val="2"/>
      </rPr>
      <t xml:space="preserve">                       10- St. Anne</t>
    </r>
  </si>
  <si>
    <t>Ms Beronica   F. Renton</t>
  </si>
  <si>
    <t>9:20-10:00</t>
  </si>
  <si>
    <t>11:40-12:10</t>
  </si>
  <si>
    <t>12:20-1:20</t>
  </si>
  <si>
    <t>1:20-1:50</t>
  </si>
  <si>
    <t>Science                    10-St.John</t>
  </si>
  <si>
    <t>Science                    8- St.Anthony</t>
  </si>
  <si>
    <t>Science                    10- St. Anne</t>
  </si>
  <si>
    <t>Science                   7-St.Paul</t>
  </si>
  <si>
    <t>Science                   9-St. Francis</t>
  </si>
  <si>
    <t>8:50-9:20</t>
  </si>
  <si>
    <t>10:30-10:40</t>
  </si>
  <si>
    <t>10:40-11:30</t>
  </si>
  <si>
    <t>11:30-11:50</t>
  </si>
  <si>
    <t>12:10-1:00</t>
  </si>
  <si>
    <t>1:00-1:50</t>
  </si>
  <si>
    <t>1:50-2:00</t>
  </si>
  <si>
    <t>2:00-2:50</t>
  </si>
  <si>
    <t xml:space="preserve">Supervised Recess </t>
  </si>
  <si>
    <t>Filipino                      10- St. Anne</t>
  </si>
  <si>
    <t>Filipino                      10- St. John</t>
  </si>
  <si>
    <t>Filipino                      8- St.Anthony</t>
  </si>
  <si>
    <t>Filipino                                 8- St.Anthony</t>
  </si>
  <si>
    <t>Filipino                      9-St. Francis</t>
  </si>
  <si>
    <t>Filipino                      7-St.Paul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</si>
</sst>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Old English Text MT"/>
      <family val="4"/>
    </font>
    <font>
      <b/>
      <sz val="9"/>
      <color theme="1"/>
      <name val="Arial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4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sz val="11"/>
      <name val="Arial Narrow"/>
      <family val="2"/>
    </font>
    <font>
      <i/>
      <sz val="11"/>
      <name val="Arial Narrow"/>
      <family val="2"/>
    </font>
    <font>
      <sz val="9"/>
      <color theme="1"/>
      <name val="Arial"/>
      <family val="2"/>
    </font>
    <font>
      <i/>
      <sz val="10"/>
      <name val="Arial Narrow"/>
      <family val="2"/>
    </font>
    <font>
      <sz val="11"/>
      <name val="Arial"/>
      <family val="2"/>
    </font>
    <font>
      <i/>
      <sz val="1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sz val="11"/>
      <color rgb="FF434343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79998168889431442"/>
        <bgColor rgb="FF0000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rgb="FF0000FF"/>
      </patternFill>
    </fill>
    <fill>
      <patternFill patternType="solid">
        <fgColor theme="2" tint="-9.9978637043366805E-2"/>
        <bgColor rgb="FF0000FF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1" xfId="0" applyFont="1" applyBorder="1"/>
    <xf numFmtId="0" fontId="4" fillId="0" borderId="4" xfId="0" applyFont="1" applyBorder="1" applyAlignment="1">
      <alignment horizontal="center" vertical="center" wrapText="1"/>
    </xf>
    <xf numFmtId="0" fontId="3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top" wrapText="1"/>
    </xf>
    <xf numFmtId="0" fontId="18" fillId="0" borderId="2" xfId="0" applyFont="1" applyBorder="1" applyAlignment="1"/>
    <xf numFmtId="0" fontId="18" fillId="0" borderId="0" xfId="0" applyFont="1" applyAlignment="1">
      <alignment horizontal="left"/>
    </xf>
    <xf numFmtId="0" fontId="19" fillId="0" borderId="0" xfId="0" applyFont="1"/>
    <xf numFmtId="1" fontId="10" fillId="0" borderId="1" xfId="0" applyNumberFormat="1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9" fillId="0" borderId="0" xfId="0" applyFont="1" applyBorder="1"/>
    <xf numFmtId="0" fontId="3" fillId="0" borderId="0" xfId="0" applyFont="1" applyBorder="1"/>
    <xf numFmtId="1" fontId="16" fillId="0" borderId="4" xfId="0" applyNumberFormat="1" applyFont="1" applyFill="1" applyBorder="1" applyAlignment="1">
      <alignment horizontal="center" vertical="center" shrinkToFit="1"/>
    </xf>
    <xf numFmtId="0" fontId="15" fillId="0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0" borderId="7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2" fillId="0" borderId="4" xfId="0" applyFont="1" applyFill="1" applyBorder="1" applyAlignment="1">
      <alignment horizontal="center" vertical="top" wrapText="1"/>
    </xf>
    <xf numFmtId="0" fontId="11" fillId="0" borderId="4" xfId="0" applyFont="1" applyFill="1" applyBorder="1" applyAlignment="1">
      <alignment vertical="center" wrapText="1"/>
    </xf>
    <xf numFmtId="1" fontId="13" fillId="0" borderId="4" xfId="0" applyNumberFormat="1" applyFont="1" applyFill="1" applyBorder="1" applyAlignment="1">
      <alignment vertical="center" shrinkToFit="1"/>
    </xf>
    <xf numFmtId="0" fontId="15" fillId="0" borderId="4" xfId="0" applyFont="1" applyFill="1" applyBorder="1" applyAlignment="1">
      <alignment vertical="top" wrapText="1"/>
    </xf>
    <xf numFmtId="1" fontId="16" fillId="0" borderId="4" xfId="0" applyNumberFormat="1" applyFont="1" applyFill="1" applyBorder="1" applyAlignment="1">
      <alignment vertical="top" shrinkToFit="1"/>
    </xf>
    <xf numFmtId="0" fontId="17" fillId="0" borderId="4" xfId="0" applyFont="1" applyFill="1" applyBorder="1" applyAlignment="1"/>
    <xf numFmtId="0" fontId="15" fillId="0" borderId="4" xfId="0" applyFont="1" applyFill="1" applyBorder="1" applyAlignment="1">
      <alignment vertical="center" wrapText="1"/>
    </xf>
    <xf numFmtId="1" fontId="16" fillId="0" borderId="4" xfId="0" applyNumberFormat="1" applyFont="1" applyFill="1" applyBorder="1" applyAlignment="1">
      <alignment vertical="center" shrinkToFit="1"/>
    </xf>
    <xf numFmtId="0" fontId="4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/>
    </xf>
    <xf numFmtId="0" fontId="23" fillId="0" borderId="8" xfId="0" applyFont="1" applyBorder="1" applyAlignment="1">
      <alignment horizontal="center" wrapText="1"/>
    </xf>
    <xf numFmtId="0" fontId="23" fillId="0" borderId="8" xfId="0" applyFont="1" applyBorder="1" applyAlignment="1">
      <alignment horizontal="center"/>
    </xf>
    <xf numFmtId="0" fontId="23" fillId="0" borderId="4" xfId="0" applyFont="1" applyFill="1" applyBorder="1" applyAlignment="1">
      <alignment wrapText="1"/>
    </xf>
    <xf numFmtId="0" fontId="19" fillId="0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23" fillId="4" borderId="12" xfId="0" applyFont="1" applyFill="1" applyBorder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3" fillId="0" borderId="10" xfId="0" applyFont="1" applyBorder="1"/>
    <xf numFmtId="0" fontId="23" fillId="0" borderId="11" xfId="0" applyFont="1" applyBorder="1"/>
    <xf numFmtId="0" fontId="6" fillId="0" borderId="0" xfId="0" applyFont="1" applyAlignment="1">
      <alignment horizontal="center" vertical="center"/>
    </xf>
    <xf numFmtId="0" fontId="1" fillId="0" borderId="1" xfId="0" applyFont="1" applyBorder="1"/>
    <xf numFmtId="0" fontId="19" fillId="0" borderId="8" xfId="0" applyFont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22" fillId="0" borderId="8" xfId="0" applyFont="1" applyBorder="1" applyAlignment="1">
      <alignment horizontal="center" wrapText="1"/>
    </xf>
    <xf numFmtId="0" fontId="28" fillId="0" borderId="8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30" fillId="0" borderId="10" xfId="0" applyFont="1" applyBorder="1"/>
    <xf numFmtId="0" fontId="30" fillId="0" borderId="15" xfId="0" applyFont="1" applyBorder="1"/>
    <xf numFmtId="0" fontId="23" fillId="5" borderId="15" xfId="0" applyFont="1" applyFill="1" applyBorder="1" applyAlignment="1">
      <alignment horizontal="center"/>
    </xf>
    <xf numFmtId="0" fontId="23" fillId="5" borderId="9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31" fillId="0" borderId="10" xfId="0" applyFont="1" applyBorder="1"/>
    <xf numFmtId="0" fontId="31" fillId="0" borderId="15" xfId="0" applyFont="1" applyBorder="1"/>
    <xf numFmtId="0" fontId="32" fillId="0" borderId="4" xfId="0" applyFont="1" applyFill="1" applyBorder="1" applyAlignment="1">
      <alignment horizontal="center" vertical="top" wrapText="1"/>
    </xf>
    <xf numFmtId="0" fontId="33" fillId="0" borderId="7" xfId="0" applyFont="1" applyFill="1" applyBorder="1" applyAlignment="1">
      <alignment vertical="center" wrapText="1"/>
    </xf>
    <xf numFmtId="0" fontId="19" fillId="0" borderId="9" xfId="0" applyFont="1" applyBorder="1" applyAlignment="1">
      <alignment horizontal="center"/>
    </xf>
    <xf numFmtId="0" fontId="22" fillId="0" borderId="18" xfId="0" applyFont="1" applyBorder="1" applyAlignment="1">
      <alignment horizontal="center" wrapText="1"/>
    </xf>
    <xf numFmtId="0" fontId="19" fillId="6" borderId="4" xfId="0" applyFont="1" applyFill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34" fillId="0" borderId="4" xfId="0" applyFont="1" applyFill="1" applyBorder="1" applyAlignment="1">
      <alignment horizontal="center" vertical="top" wrapText="1"/>
    </xf>
    <xf numFmtId="0" fontId="22" fillId="0" borderId="8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3" fillId="0" borderId="8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/>
    </xf>
    <xf numFmtId="0" fontId="37" fillId="0" borderId="10" xfId="0" applyFont="1" applyBorder="1"/>
    <xf numFmtId="0" fontId="37" fillId="0" borderId="15" xfId="0" applyFont="1" applyBorder="1"/>
    <xf numFmtId="0" fontId="38" fillId="0" borderId="9" xfId="0" applyFont="1" applyBorder="1" applyAlignment="1">
      <alignment horizontal="center"/>
    </xf>
    <xf numFmtId="0" fontId="39" fillId="0" borderId="4" xfId="0" applyFont="1" applyFill="1" applyBorder="1" applyAlignment="1">
      <alignment horizontal="center" vertical="top" wrapText="1"/>
    </xf>
    <xf numFmtId="0" fontId="40" fillId="6" borderId="9" xfId="0" applyFont="1" applyFill="1" applyBorder="1" applyAlignment="1">
      <alignment horizontal="center"/>
    </xf>
    <xf numFmtId="0" fontId="40" fillId="6" borderId="10" xfId="0" applyFont="1" applyFill="1" applyBorder="1" applyAlignment="1">
      <alignment horizontal="center"/>
    </xf>
    <xf numFmtId="0" fontId="40" fillId="6" borderId="11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/>
    </xf>
    <xf numFmtId="0" fontId="19" fillId="6" borderId="11" xfId="0" applyFont="1" applyFill="1" applyBorder="1" applyAlignment="1">
      <alignment horizontal="center"/>
    </xf>
    <xf numFmtId="0" fontId="38" fillId="2" borderId="9" xfId="0" applyFont="1" applyFill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3" fillId="6" borderId="21" xfId="0" applyFont="1" applyFill="1" applyBorder="1" applyAlignment="1">
      <alignment horizontal="center"/>
    </xf>
    <xf numFmtId="0" fontId="23" fillId="6" borderId="22" xfId="0" applyFont="1" applyFill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top" wrapText="1"/>
    </xf>
    <xf numFmtId="0" fontId="31" fillId="0" borderId="7" xfId="0" applyFont="1" applyFill="1" applyBorder="1" applyAlignment="1">
      <alignment vertical="top" wrapText="1"/>
    </xf>
    <xf numFmtId="0" fontId="26" fillId="0" borderId="24" xfId="0" applyFont="1" applyBorder="1" applyAlignment="1">
      <alignment horizontal="center"/>
    </xf>
    <xf numFmtId="0" fontId="23" fillId="0" borderId="24" xfId="0" applyFont="1" applyBorder="1" applyAlignment="1">
      <alignment horizontal="center" wrapText="1"/>
    </xf>
    <xf numFmtId="0" fontId="25" fillId="2" borderId="25" xfId="0" applyFont="1" applyFill="1" applyBorder="1" applyAlignment="1">
      <alignment horizontal="center"/>
    </xf>
    <xf numFmtId="0" fontId="24" fillId="2" borderId="26" xfId="0" applyFont="1" applyFill="1" applyBorder="1" applyAlignment="1">
      <alignment horizontal="center"/>
    </xf>
    <xf numFmtId="0" fontId="31" fillId="0" borderId="27" xfId="0" applyFont="1" applyBorder="1"/>
    <xf numFmtId="0" fontId="31" fillId="0" borderId="25" xfId="0" applyFont="1" applyBorder="1"/>
    <xf numFmtId="0" fontId="23" fillId="6" borderId="4" xfId="0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947117</xdr:colOff>
      <xdr:row>0</xdr:row>
      <xdr:rowOff>152400</xdr:rowOff>
    </xdr:from>
    <xdr:to>
      <xdr:col>1</xdr:col>
      <xdr:colOff>597062</xdr:colOff>
      <xdr:row>4</xdr:row>
      <xdr:rowOff>209550</xdr:rowOff>
    </xdr:to>
    <xdr:pic>
      <xdr:nvPicPr>
        <xdr:cNvPr id="4" name="Picture 3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947117" y="152400"/>
          <a:ext cx="859620" cy="933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104775</xdr:rowOff>
    </xdr:from>
    <xdr:to>
      <xdr:col>1</xdr:col>
      <xdr:colOff>409575</xdr:colOff>
      <xdr:row>5</xdr:row>
      <xdr:rowOff>66555</xdr:rowOff>
    </xdr:to>
    <xdr:pic>
      <xdr:nvPicPr>
        <xdr:cNvPr id="3" name="Picture 2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09600" y="104775"/>
          <a:ext cx="885825" cy="9619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613957</xdr:colOff>
      <xdr:row>1</xdr:row>
      <xdr:rowOff>38099</xdr:rowOff>
    </xdr:from>
    <xdr:to>
      <xdr:col>1</xdr:col>
      <xdr:colOff>322635</xdr:colOff>
      <xdr:row>5</xdr:row>
      <xdr:rowOff>197126</xdr:rowOff>
    </xdr:to>
    <xdr:pic>
      <xdr:nvPicPr>
        <xdr:cNvPr id="4" name="Picture 3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13957" y="238124"/>
          <a:ext cx="918353" cy="9972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899492</xdr:colOff>
      <xdr:row>0</xdr:row>
      <xdr:rowOff>76200</xdr:rowOff>
    </xdr:from>
    <xdr:to>
      <xdr:col>2</xdr:col>
      <xdr:colOff>65654</xdr:colOff>
      <xdr:row>5</xdr:row>
      <xdr:rowOff>9525</xdr:rowOff>
    </xdr:to>
    <xdr:pic>
      <xdr:nvPicPr>
        <xdr:cNvPr id="4" name="Picture 3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99492" y="76200"/>
          <a:ext cx="947337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1</xdr:row>
      <xdr:rowOff>57150</xdr:rowOff>
    </xdr:from>
    <xdr:to>
      <xdr:col>2</xdr:col>
      <xdr:colOff>119683</xdr:colOff>
      <xdr:row>6</xdr:row>
      <xdr:rowOff>183720</xdr:rowOff>
    </xdr:to>
    <xdr:pic>
      <xdr:nvPicPr>
        <xdr:cNvPr id="3" name="Picture 2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81050" y="257175"/>
          <a:ext cx="967408" cy="10504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889967</xdr:colOff>
      <xdr:row>0</xdr:row>
      <xdr:rowOff>180975</xdr:rowOff>
    </xdr:from>
    <xdr:to>
      <xdr:col>1</xdr:col>
      <xdr:colOff>618857</xdr:colOff>
      <xdr:row>6</xdr:row>
      <xdr:rowOff>76200</xdr:rowOff>
    </xdr:to>
    <xdr:pic>
      <xdr:nvPicPr>
        <xdr:cNvPr id="4" name="Picture 3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9967" y="180975"/>
          <a:ext cx="938565" cy="1019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681904</xdr:colOff>
      <xdr:row>0</xdr:row>
      <xdr:rowOff>162358</xdr:rowOff>
    </xdr:from>
    <xdr:to>
      <xdr:col>2</xdr:col>
      <xdr:colOff>122179</xdr:colOff>
      <xdr:row>6</xdr:row>
      <xdr:rowOff>107505</xdr:rowOff>
    </xdr:to>
    <xdr:pic>
      <xdr:nvPicPr>
        <xdr:cNvPr id="2" name="Picture 1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81904" y="162358"/>
          <a:ext cx="1085502" cy="12223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787400</xdr:colOff>
      <xdr:row>0</xdr:row>
      <xdr:rowOff>140492</xdr:rowOff>
    </xdr:from>
    <xdr:to>
      <xdr:col>1</xdr:col>
      <xdr:colOff>460375</xdr:colOff>
      <xdr:row>5</xdr:row>
      <xdr:rowOff>215900</xdr:rowOff>
    </xdr:to>
    <xdr:pic>
      <xdr:nvPicPr>
        <xdr:cNvPr id="2" name="Picture 1" descr="No description available."/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787400" y="140492"/>
          <a:ext cx="879475" cy="10279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FFFF00"/>
  </sheetPr>
  <dimension ref="A1:H31"/>
  <sheetViews>
    <sheetView view="pageBreakPreview" zoomScaleSheetLayoutView="100" workbookViewId="0">
      <selection activeCell="A4" sqref="A4:H4"/>
    </sheetView>
  </sheetViews>
  <sheetFormatPr defaultColWidth="8.85546875" defaultRowHeight="15"/>
  <cols>
    <col min="1" max="1" width="18.140625" customWidth="1"/>
    <col min="2" max="2" width="10.42578125" customWidth="1"/>
    <col min="3" max="3" width="15.28515625" customWidth="1"/>
    <col min="4" max="4" width="14.85546875" customWidth="1"/>
    <col min="5" max="5" width="14.140625" customWidth="1"/>
    <col min="6" max="6" width="14.28515625" customWidth="1"/>
    <col min="7" max="7" width="15.140625" customWidth="1"/>
    <col min="8" max="8" width="11.28515625" customWidth="1"/>
  </cols>
  <sheetData>
    <row r="1" spans="1:8" ht="15.75">
      <c r="A1" s="4" t="s">
        <v>16</v>
      </c>
    </row>
    <row r="2" spans="1:8" ht="22.5" customHeight="1">
      <c r="A2" s="56" t="s">
        <v>17</v>
      </c>
      <c r="B2" s="56"/>
      <c r="C2" s="56"/>
      <c r="D2" s="56"/>
      <c r="E2" s="56"/>
      <c r="F2" s="56"/>
      <c r="G2" s="56"/>
      <c r="H2" s="56"/>
    </row>
    <row r="3" spans="1:8">
      <c r="A3" s="57" t="s">
        <v>20</v>
      </c>
      <c r="B3" s="57"/>
      <c r="C3" s="57"/>
      <c r="D3" s="57"/>
      <c r="E3" s="57"/>
      <c r="F3" s="57"/>
      <c r="G3" s="57"/>
      <c r="H3" s="57"/>
    </row>
    <row r="4" spans="1:8" ht="15.75">
      <c r="A4" s="58" t="s">
        <v>3</v>
      </c>
      <c r="B4" s="58"/>
      <c r="C4" s="58"/>
      <c r="D4" s="58"/>
      <c r="E4" s="58"/>
      <c r="F4" s="58"/>
      <c r="G4" s="58"/>
      <c r="H4" s="58"/>
    </row>
    <row r="5" spans="1:8" ht="17.25" customHeight="1">
      <c r="A5" s="59" t="s">
        <v>38</v>
      </c>
      <c r="B5" s="58"/>
      <c r="C5" s="58"/>
      <c r="D5" s="58"/>
      <c r="E5" s="58"/>
      <c r="F5" s="58"/>
      <c r="G5" s="58"/>
      <c r="H5" s="58"/>
    </row>
    <row r="6" spans="1:8" ht="10.5" customHeight="1">
      <c r="A6" s="9"/>
      <c r="B6" s="8"/>
      <c r="C6" s="8"/>
      <c r="D6" s="8"/>
      <c r="E6" s="8"/>
      <c r="F6" s="8"/>
      <c r="G6" s="8"/>
      <c r="H6" s="8"/>
    </row>
    <row r="7" spans="1:8">
      <c r="A7" s="60" t="s">
        <v>5</v>
      </c>
      <c r="B7" s="60"/>
      <c r="C7" s="60"/>
      <c r="D7" s="62" t="s">
        <v>22</v>
      </c>
      <c r="E7" s="62"/>
      <c r="F7" s="62"/>
      <c r="G7" s="62"/>
      <c r="H7" s="1"/>
    </row>
    <row r="8" spans="1:8">
      <c r="A8" s="60" t="s">
        <v>15</v>
      </c>
      <c r="B8" s="60"/>
      <c r="C8" s="60"/>
      <c r="D8" s="14" t="s">
        <v>27</v>
      </c>
      <c r="E8" s="14"/>
      <c r="F8" s="14"/>
      <c r="G8" s="15"/>
      <c r="H8" s="1"/>
    </row>
    <row r="9" spans="1:8">
      <c r="A9" s="60" t="s">
        <v>4</v>
      </c>
      <c r="B9" s="60"/>
      <c r="C9" s="60"/>
      <c r="D9" s="21">
        <f>+SUM(H13:H24)</f>
        <v>1250</v>
      </c>
    </row>
    <row r="10" spans="1:8">
      <c r="A10" s="29" t="s">
        <v>37</v>
      </c>
      <c r="B10" s="29"/>
      <c r="C10" s="30"/>
      <c r="D10" s="21">
        <v>5</v>
      </c>
    </row>
    <row r="11" spans="1:8" ht="12" customHeight="1">
      <c r="A11" s="61" t="s">
        <v>6</v>
      </c>
      <c r="B11" s="61"/>
      <c r="C11" s="61"/>
      <c r="D11" s="61"/>
      <c r="E11" s="61"/>
      <c r="F11" s="61"/>
      <c r="G11" s="61"/>
      <c r="H11" s="61"/>
    </row>
    <row r="12" spans="1:8" s="7" customFormat="1" ht="23.25" customHeight="1">
      <c r="A12" s="6" t="s">
        <v>0</v>
      </c>
      <c r="B12" s="6" t="s">
        <v>1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  <c r="H12" s="6" t="s">
        <v>2</v>
      </c>
    </row>
    <row r="13" spans="1:8" s="7" customFormat="1" ht="40.5" customHeight="1">
      <c r="A13" s="77" t="s">
        <v>53</v>
      </c>
      <c r="B13" s="136">
        <v>50</v>
      </c>
      <c r="C13" s="137" t="s">
        <v>153</v>
      </c>
      <c r="D13" s="137" t="s">
        <v>153</v>
      </c>
      <c r="E13" s="137" t="s">
        <v>153</v>
      </c>
      <c r="F13" s="137" t="s">
        <v>153</v>
      </c>
      <c r="G13" s="137" t="s">
        <v>153</v>
      </c>
      <c r="H13" s="38">
        <f>+B13*5</f>
        <v>250</v>
      </c>
    </row>
    <row r="14" spans="1:8" s="7" customFormat="1" ht="15" customHeight="1">
      <c r="A14" s="95" t="s">
        <v>144</v>
      </c>
      <c r="B14" s="142" t="s">
        <v>30</v>
      </c>
      <c r="C14" s="142"/>
      <c r="D14" s="142"/>
      <c r="E14" s="142"/>
      <c r="F14" s="142"/>
      <c r="G14" s="142"/>
      <c r="H14" s="37"/>
    </row>
    <row r="15" spans="1:8" s="7" customFormat="1" ht="15" customHeight="1">
      <c r="A15" s="77" t="s">
        <v>70</v>
      </c>
      <c r="B15" s="138">
        <v>20</v>
      </c>
      <c r="C15" s="139" t="s">
        <v>152</v>
      </c>
      <c r="D15" s="140"/>
      <c r="E15" s="140"/>
      <c r="F15" s="141"/>
      <c r="G15" s="134"/>
      <c r="H15" s="38"/>
    </row>
    <row r="16" spans="1:8" s="7" customFormat="1" ht="32.25" customHeight="1">
      <c r="A16" s="77" t="s">
        <v>42</v>
      </c>
      <c r="B16" s="130">
        <v>50</v>
      </c>
      <c r="C16" s="52" t="s">
        <v>154</v>
      </c>
      <c r="D16" s="52" t="s">
        <v>154</v>
      </c>
      <c r="E16" s="52" t="s">
        <v>154</v>
      </c>
      <c r="F16" s="52" t="s">
        <v>154</v>
      </c>
      <c r="G16" s="52" t="s">
        <v>154</v>
      </c>
      <c r="H16" s="38">
        <f>+B16*5</f>
        <v>250</v>
      </c>
    </row>
    <row r="17" spans="1:8" s="7" customFormat="1" ht="12.75" customHeight="1">
      <c r="A17" s="77" t="s">
        <v>145</v>
      </c>
      <c r="B17" s="131" t="s">
        <v>30</v>
      </c>
      <c r="C17" s="132"/>
      <c r="D17" s="132"/>
      <c r="E17" s="132"/>
      <c r="F17" s="132"/>
      <c r="G17" s="133"/>
      <c r="H17" s="38"/>
    </row>
    <row r="18" spans="1:8" s="7" customFormat="1" ht="32.25" customHeight="1">
      <c r="A18" s="77" t="s">
        <v>146</v>
      </c>
      <c r="B18" s="130">
        <v>50</v>
      </c>
      <c r="C18" s="52" t="s">
        <v>155</v>
      </c>
      <c r="D18" s="52" t="s">
        <v>155</v>
      </c>
      <c r="E18" s="52" t="s">
        <v>156</v>
      </c>
      <c r="F18" s="52" t="s">
        <v>155</v>
      </c>
      <c r="G18" s="52" t="s">
        <v>155</v>
      </c>
      <c r="H18" s="38">
        <f>+B18*5</f>
        <v>250</v>
      </c>
    </row>
    <row r="19" spans="1:8" s="7" customFormat="1" ht="15" customHeight="1">
      <c r="A19" s="77" t="s">
        <v>147</v>
      </c>
      <c r="B19" s="131" t="s">
        <v>30</v>
      </c>
      <c r="C19" s="132"/>
      <c r="D19" s="132"/>
      <c r="E19" s="132"/>
      <c r="F19" s="132"/>
      <c r="G19" s="133"/>
      <c r="H19" s="38"/>
    </row>
    <row r="20" spans="1:8" s="7" customFormat="1" ht="15" customHeight="1">
      <c r="A20" s="77" t="s">
        <v>74</v>
      </c>
      <c r="B20" s="130">
        <v>30</v>
      </c>
      <c r="C20" s="129" t="s">
        <v>112</v>
      </c>
      <c r="D20" s="91"/>
      <c r="E20" s="91"/>
      <c r="F20" s="92"/>
      <c r="G20" s="135"/>
      <c r="H20" s="37"/>
    </row>
    <row r="21" spans="1:8" s="7" customFormat="1" ht="15" customHeight="1">
      <c r="A21" s="77" t="s">
        <v>148</v>
      </c>
      <c r="B21" s="131" t="s">
        <v>30</v>
      </c>
      <c r="C21" s="132"/>
      <c r="D21" s="132"/>
      <c r="E21" s="132"/>
      <c r="F21" s="132"/>
      <c r="G21" s="133"/>
      <c r="H21" s="38"/>
    </row>
    <row r="22" spans="1:8" ht="29.25" customHeight="1">
      <c r="A22" s="77" t="s">
        <v>149</v>
      </c>
      <c r="B22" s="130">
        <v>50</v>
      </c>
      <c r="C22" s="52" t="s">
        <v>157</v>
      </c>
      <c r="D22" s="52" t="s">
        <v>157</v>
      </c>
      <c r="E22" s="52" t="s">
        <v>157</v>
      </c>
      <c r="F22" s="52" t="s">
        <v>157</v>
      </c>
      <c r="G22" s="52" t="s">
        <v>157</v>
      </c>
      <c r="H22" s="38">
        <f>+B22*5</f>
        <v>250</v>
      </c>
    </row>
    <row r="23" spans="1:8" ht="15" customHeight="1">
      <c r="A23" s="77" t="s">
        <v>150</v>
      </c>
      <c r="B23" s="131" t="s">
        <v>30</v>
      </c>
      <c r="C23" s="132"/>
      <c r="D23" s="132"/>
      <c r="E23" s="132"/>
      <c r="F23" s="132"/>
      <c r="G23" s="133"/>
      <c r="H23" s="38"/>
    </row>
    <row r="24" spans="1:8" ht="30" customHeight="1">
      <c r="A24" s="77" t="s">
        <v>151</v>
      </c>
      <c r="B24" s="130">
        <v>50</v>
      </c>
      <c r="C24" s="52" t="s">
        <v>158</v>
      </c>
      <c r="D24" s="52" t="s">
        <v>158</v>
      </c>
      <c r="E24" s="52" t="s">
        <v>158</v>
      </c>
      <c r="F24" s="52" t="s">
        <v>157</v>
      </c>
      <c r="G24" s="52" t="s">
        <v>157</v>
      </c>
      <c r="H24" s="38">
        <f>+B24*5</f>
        <v>250</v>
      </c>
    </row>
    <row r="25" spans="1:8" ht="20.25" customHeight="1">
      <c r="A25" s="2" t="s">
        <v>7</v>
      </c>
    </row>
    <row r="26" spans="1:8" ht="20.25" customHeight="1">
      <c r="A26" s="2"/>
    </row>
    <row r="27" spans="1:8">
      <c r="A27" s="63" t="s">
        <v>19</v>
      </c>
      <c r="B27" s="63"/>
      <c r="C27" s="63"/>
    </row>
    <row r="28" spans="1:8">
      <c r="A28" s="10"/>
      <c r="B28" s="10"/>
      <c r="C28" s="10"/>
    </row>
    <row r="29" spans="1:8">
      <c r="A29" t="s">
        <v>8</v>
      </c>
    </row>
    <row r="30" spans="1:8">
      <c r="A30" s="63" t="s">
        <v>21</v>
      </c>
      <c r="B30" s="63"/>
      <c r="C30" s="63"/>
    </row>
    <row r="31" spans="1:8">
      <c r="A31" s="64" t="s">
        <v>9</v>
      </c>
      <c r="B31" s="64"/>
      <c r="C31" s="64"/>
    </row>
  </sheetData>
  <mergeCells count="19">
    <mergeCell ref="A31:C31"/>
    <mergeCell ref="C15:F15"/>
    <mergeCell ref="C20:F20"/>
    <mergeCell ref="B17:G17"/>
    <mergeCell ref="B19:G19"/>
    <mergeCell ref="B21:G21"/>
    <mergeCell ref="B23:G23"/>
    <mergeCell ref="A9:C9"/>
    <mergeCell ref="A11:H11"/>
    <mergeCell ref="D7:G7"/>
    <mergeCell ref="A27:C27"/>
    <mergeCell ref="A30:C30"/>
    <mergeCell ref="B14:G14"/>
    <mergeCell ref="A2:H2"/>
    <mergeCell ref="A3:H3"/>
    <mergeCell ref="A4:H4"/>
    <mergeCell ref="A5:H5"/>
    <mergeCell ref="A8:C8"/>
    <mergeCell ref="A7:C7"/>
  </mergeCells>
  <pageMargins left="0.9055118110236221" right="0.70866141732283472" top="0.15748031496062992" bottom="0.59055118110236227" header="0.31496062992125984" footer="0.31496062992125984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>
    <tabColor rgb="FFFFFF00"/>
  </sheetPr>
  <dimension ref="A1:H28"/>
  <sheetViews>
    <sheetView view="pageBreakPreview" zoomScaleSheetLayoutView="100" workbookViewId="0">
      <selection activeCell="L12" sqref="L12"/>
    </sheetView>
  </sheetViews>
  <sheetFormatPr defaultColWidth="8.85546875" defaultRowHeight="15"/>
  <cols>
    <col min="1" max="1" width="16.28515625" customWidth="1"/>
    <col min="2" max="2" width="8.85546875" customWidth="1"/>
    <col min="3" max="3" width="12" customWidth="1"/>
    <col min="4" max="6" width="11.42578125" customWidth="1"/>
    <col min="7" max="7" width="11.7109375" customWidth="1"/>
    <col min="8" max="8" width="12.5703125" customWidth="1"/>
  </cols>
  <sheetData>
    <row r="1" spans="1:8" ht="12.75" customHeight="1">
      <c r="A1" s="9" t="s">
        <v>16</v>
      </c>
    </row>
    <row r="2" spans="1:8" ht="17.25" customHeight="1">
      <c r="A2" s="56" t="s">
        <v>17</v>
      </c>
      <c r="B2" s="56"/>
      <c r="C2" s="56"/>
      <c r="D2" s="56"/>
      <c r="E2" s="56"/>
      <c r="F2" s="56"/>
      <c r="G2" s="56"/>
      <c r="H2" s="56"/>
    </row>
    <row r="3" spans="1:8">
      <c r="A3" s="57" t="s">
        <v>20</v>
      </c>
      <c r="B3" s="57"/>
      <c r="C3" s="57"/>
      <c r="D3" s="57"/>
      <c r="E3" s="57"/>
      <c r="F3" s="57"/>
      <c r="G3" s="57"/>
      <c r="H3" s="57"/>
    </row>
    <row r="4" spans="1:8" ht="15.75">
      <c r="A4" s="58" t="s">
        <v>3</v>
      </c>
      <c r="B4" s="58"/>
      <c r="C4" s="58"/>
      <c r="D4" s="58"/>
      <c r="E4" s="58"/>
      <c r="F4" s="58"/>
      <c r="G4" s="58"/>
      <c r="H4" s="58"/>
    </row>
    <row r="5" spans="1:8" ht="18" customHeight="1">
      <c r="A5" s="59" t="s">
        <v>38</v>
      </c>
      <c r="B5" s="58"/>
      <c r="C5" s="58"/>
      <c r="D5" s="58"/>
      <c r="E5" s="58"/>
      <c r="F5" s="58"/>
      <c r="G5" s="58"/>
      <c r="H5" s="58"/>
    </row>
    <row r="6" spans="1:8" ht="12.75" customHeight="1">
      <c r="A6" s="9"/>
      <c r="B6" s="8"/>
      <c r="C6" s="8"/>
      <c r="D6" s="8"/>
      <c r="E6" s="8"/>
      <c r="F6" s="8"/>
      <c r="G6" s="8"/>
      <c r="H6" s="8"/>
    </row>
    <row r="7" spans="1:8">
      <c r="A7" s="60" t="s">
        <v>5</v>
      </c>
      <c r="B7" s="60"/>
      <c r="C7" s="60"/>
      <c r="D7" s="62" t="s">
        <v>25</v>
      </c>
      <c r="E7" s="62"/>
      <c r="F7" s="62"/>
      <c r="G7" s="62"/>
      <c r="H7" s="1"/>
    </row>
    <row r="8" spans="1:8">
      <c r="A8" s="60" t="s">
        <v>4</v>
      </c>
      <c r="B8" s="60"/>
      <c r="C8" s="60"/>
      <c r="D8" s="17">
        <f>+SUM(H12:H21)</f>
        <v>1650</v>
      </c>
    </row>
    <row r="9" spans="1:8">
      <c r="A9" s="29" t="s">
        <v>37</v>
      </c>
      <c r="B9" s="29"/>
      <c r="C9" s="29"/>
      <c r="D9" s="17">
        <v>5</v>
      </c>
    </row>
    <row r="10" spans="1:8" ht="12" customHeight="1">
      <c r="A10" s="61" t="s">
        <v>6</v>
      </c>
      <c r="B10" s="61"/>
      <c r="C10" s="61"/>
      <c r="D10" s="61"/>
      <c r="E10" s="61"/>
      <c r="F10" s="61"/>
      <c r="G10" s="61"/>
      <c r="H10" s="61"/>
    </row>
    <row r="11" spans="1:8" s="7" customFormat="1" ht="23.25" customHeight="1">
      <c r="A11" s="6" t="s">
        <v>0</v>
      </c>
      <c r="B11" s="6" t="s">
        <v>1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2</v>
      </c>
    </row>
    <row r="12" spans="1:8" s="7" customFormat="1" ht="43.5" customHeight="1">
      <c r="A12" s="78" t="s">
        <v>84</v>
      </c>
      <c r="B12" s="78">
        <v>60</v>
      </c>
      <c r="C12" s="105" t="s">
        <v>92</v>
      </c>
      <c r="D12" s="105" t="s">
        <v>93</v>
      </c>
      <c r="E12" s="105" t="s">
        <v>94</v>
      </c>
      <c r="F12" s="105" t="s">
        <v>92</v>
      </c>
      <c r="G12" s="105" t="s">
        <v>92</v>
      </c>
      <c r="H12" s="41">
        <f>+B12*5</f>
        <v>300</v>
      </c>
    </row>
    <row r="13" spans="1:8" s="7" customFormat="1" ht="42" customHeight="1">
      <c r="A13" s="78" t="s">
        <v>85</v>
      </c>
      <c r="B13" s="78">
        <v>60</v>
      </c>
      <c r="C13" s="105" t="s">
        <v>95</v>
      </c>
      <c r="D13" s="105" t="s">
        <v>95</v>
      </c>
      <c r="E13" s="105" t="s">
        <v>96</v>
      </c>
      <c r="F13" s="105" t="s">
        <v>95</v>
      </c>
      <c r="G13" s="105" t="s">
        <v>95</v>
      </c>
      <c r="H13" s="41">
        <f>+B13*5</f>
        <v>300</v>
      </c>
    </row>
    <row r="14" spans="1:8" s="7" customFormat="1" ht="15" customHeight="1">
      <c r="A14" s="78" t="s">
        <v>86</v>
      </c>
      <c r="B14" s="111" t="s">
        <v>30</v>
      </c>
      <c r="C14" s="112"/>
      <c r="D14" s="112"/>
      <c r="E14" s="112"/>
      <c r="F14" s="112"/>
      <c r="G14" s="112"/>
      <c r="H14" s="113"/>
    </row>
    <row r="15" spans="1:8" s="7" customFormat="1" ht="39.75" customHeight="1">
      <c r="A15" s="77" t="s">
        <v>87</v>
      </c>
      <c r="B15" s="78">
        <v>60</v>
      </c>
      <c r="C15" s="105" t="s">
        <v>97</v>
      </c>
      <c r="D15" s="105" t="s">
        <v>98</v>
      </c>
      <c r="E15" s="105" t="s">
        <v>99</v>
      </c>
      <c r="F15" s="105" t="s">
        <v>98</v>
      </c>
      <c r="G15" s="105" t="s">
        <v>98</v>
      </c>
      <c r="H15" s="41">
        <f>+B15*5</f>
        <v>300</v>
      </c>
    </row>
    <row r="16" spans="1:8" s="7" customFormat="1" ht="36.75" customHeight="1">
      <c r="A16" s="77" t="s">
        <v>73</v>
      </c>
      <c r="B16" s="78">
        <v>60</v>
      </c>
      <c r="C16" s="105" t="s">
        <v>98</v>
      </c>
      <c r="D16" s="105" t="s">
        <v>98</v>
      </c>
      <c r="E16" s="105" t="s">
        <v>100</v>
      </c>
      <c r="F16" s="105" t="s">
        <v>98</v>
      </c>
      <c r="G16" s="105" t="s">
        <v>98</v>
      </c>
      <c r="H16" s="41">
        <f>+B16*5</f>
        <v>300</v>
      </c>
    </row>
    <row r="17" spans="1:8" s="7" customFormat="1" ht="15" customHeight="1">
      <c r="A17" s="77" t="s">
        <v>58</v>
      </c>
      <c r="B17" s="79">
        <v>30</v>
      </c>
      <c r="C17" s="109" t="s">
        <v>90</v>
      </c>
      <c r="D17" s="106"/>
      <c r="E17" s="106"/>
      <c r="F17" s="107"/>
      <c r="G17" s="110"/>
      <c r="H17" s="41">
        <f>+B17*5</f>
        <v>150</v>
      </c>
    </row>
    <row r="18" spans="1:8" s="7" customFormat="1" ht="15" customHeight="1">
      <c r="A18" s="77" t="s">
        <v>88</v>
      </c>
      <c r="B18" s="111" t="s">
        <v>30</v>
      </c>
      <c r="C18" s="112"/>
      <c r="D18" s="112"/>
      <c r="E18" s="112"/>
      <c r="F18" s="112"/>
      <c r="G18" s="112"/>
      <c r="H18" s="113"/>
    </row>
    <row r="19" spans="1:8" s="7" customFormat="1" ht="42.75" customHeight="1">
      <c r="A19" s="77" t="s">
        <v>89</v>
      </c>
      <c r="B19" s="78">
        <v>60</v>
      </c>
      <c r="C19" s="105" t="s">
        <v>101</v>
      </c>
      <c r="D19" s="105" t="s">
        <v>101</v>
      </c>
      <c r="E19" s="105" t="s">
        <v>102</v>
      </c>
      <c r="F19" s="105" t="s">
        <v>101</v>
      </c>
      <c r="G19" s="105" t="s">
        <v>101</v>
      </c>
      <c r="H19" s="41">
        <f>+B19*5</f>
        <v>300</v>
      </c>
    </row>
    <row r="20" spans="1:8" s="7" customFormat="1" ht="15" customHeight="1">
      <c r="A20" s="78" t="s">
        <v>46</v>
      </c>
      <c r="B20" s="77">
        <v>40</v>
      </c>
      <c r="C20" s="114" t="s">
        <v>91</v>
      </c>
      <c r="D20" s="115"/>
      <c r="E20" s="115"/>
      <c r="F20" s="115"/>
      <c r="G20" s="115"/>
      <c r="H20" s="116"/>
    </row>
    <row r="21" spans="1:8" ht="15" customHeight="1">
      <c r="A21" s="40"/>
      <c r="B21" s="41"/>
      <c r="C21" s="110"/>
      <c r="D21" s="110"/>
      <c r="E21" s="108"/>
      <c r="F21" s="110"/>
      <c r="G21" s="110"/>
      <c r="H21" s="41"/>
    </row>
    <row r="22" spans="1:8">
      <c r="A22" s="2" t="s">
        <v>7</v>
      </c>
      <c r="C22" s="104"/>
      <c r="D22" s="104"/>
      <c r="E22" s="104"/>
      <c r="F22" s="104"/>
      <c r="G22" s="104"/>
    </row>
    <row r="23" spans="1:8" ht="11.25" customHeight="1">
      <c r="A23" s="2"/>
    </row>
    <row r="24" spans="1:8">
      <c r="A24" s="63" t="s">
        <v>25</v>
      </c>
      <c r="B24" s="63"/>
      <c r="C24" s="63"/>
    </row>
    <row r="25" spans="1:8">
      <c r="A25" s="65" t="s">
        <v>18</v>
      </c>
      <c r="B25" s="65"/>
      <c r="C25" s="65"/>
    </row>
    <row r="26" spans="1:8">
      <c r="A26" t="s">
        <v>8</v>
      </c>
    </row>
    <row r="27" spans="1:8">
      <c r="A27" s="63" t="s">
        <v>21</v>
      </c>
      <c r="B27" s="63"/>
      <c r="C27" s="63"/>
    </row>
    <row r="28" spans="1:8">
      <c r="A28" s="64" t="s">
        <v>9</v>
      </c>
      <c r="B28" s="64"/>
      <c r="C28" s="64"/>
    </row>
  </sheetData>
  <mergeCells count="16">
    <mergeCell ref="A2:H2"/>
    <mergeCell ref="A3:H3"/>
    <mergeCell ref="A4:H4"/>
    <mergeCell ref="A5:H5"/>
    <mergeCell ref="A7:C7"/>
    <mergeCell ref="D7:G7"/>
    <mergeCell ref="A24:C24"/>
    <mergeCell ref="A25:C25"/>
    <mergeCell ref="A27:C27"/>
    <mergeCell ref="A28:C28"/>
    <mergeCell ref="A8:C8"/>
    <mergeCell ref="A10:H10"/>
    <mergeCell ref="C17:F17"/>
    <mergeCell ref="B14:H14"/>
    <mergeCell ref="B18:H18"/>
    <mergeCell ref="C20:H20"/>
  </mergeCells>
  <printOptions horizontalCentered="1"/>
  <pageMargins left="0.70866141732283472" right="0.51181102362204722" top="0.35433070866141736" bottom="0.19685039370078741" header="0.31496062992125984" footer="0.31496062992125984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>
    <tabColor rgb="FFFFFF00"/>
  </sheetPr>
  <dimension ref="A1:H29"/>
  <sheetViews>
    <sheetView view="pageBreakPreview" zoomScaleSheetLayoutView="100" workbookViewId="0">
      <selection activeCell="H12" sqref="H12"/>
    </sheetView>
  </sheetViews>
  <sheetFormatPr defaultColWidth="8.85546875" defaultRowHeight="15"/>
  <cols>
    <col min="1" max="1" width="18.140625" customWidth="1"/>
    <col min="2" max="2" width="9" customWidth="1"/>
    <col min="3" max="3" width="10.7109375" customWidth="1"/>
    <col min="4" max="4" width="12.42578125" customWidth="1"/>
    <col min="5" max="5" width="11.28515625" customWidth="1"/>
    <col min="6" max="6" width="11.140625" customWidth="1"/>
    <col min="7" max="7" width="11.42578125" customWidth="1"/>
    <col min="8" max="8" width="14.7109375" customWidth="1"/>
  </cols>
  <sheetData>
    <row r="1" spans="1:8" ht="15.75">
      <c r="A1" s="9" t="s">
        <v>16</v>
      </c>
    </row>
    <row r="2" spans="1:8" ht="15.75">
      <c r="A2" s="36"/>
    </row>
    <row r="3" spans="1:8" ht="19.5" customHeight="1">
      <c r="A3" s="56" t="s">
        <v>17</v>
      </c>
      <c r="B3" s="56"/>
      <c r="C3" s="56"/>
      <c r="D3" s="56"/>
      <c r="E3" s="56"/>
      <c r="F3" s="56"/>
      <c r="G3" s="56"/>
      <c r="H3" s="56"/>
    </row>
    <row r="4" spans="1:8">
      <c r="A4" s="57" t="s">
        <v>20</v>
      </c>
      <c r="B4" s="57"/>
      <c r="C4" s="57"/>
      <c r="D4" s="57"/>
      <c r="E4" s="57"/>
      <c r="F4" s="57"/>
      <c r="G4" s="57"/>
      <c r="H4" s="57"/>
    </row>
    <row r="5" spans="1:8" ht="15.75">
      <c r="A5" s="58" t="s">
        <v>3</v>
      </c>
      <c r="B5" s="58"/>
      <c r="C5" s="58"/>
      <c r="D5" s="58"/>
      <c r="E5" s="58"/>
      <c r="F5" s="58"/>
      <c r="G5" s="58"/>
      <c r="H5" s="58"/>
    </row>
    <row r="6" spans="1:8" ht="17.25" customHeight="1">
      <c r="A6" s="59" t="s">
        <v>38</v>
      </c>
      <c r="B6" s="58"/>
      <c r="C6" s="58"/>
      <c r="D6" s="58"/>
      <c r="E6" s="58"/>
      <c r="F6" s="58"/>
      <c r="G6" s="58"/>
      <c r="H6" s="58"/>
    </row>
    <row r="7" spans="1:8">
      <c r="A7" s="60" t="s">
        <v>5</v>
      </c>
      <c r="B7" s="60"/>
      <c r="C7" s="60"/>
      <c r="D7" s="62" t="s">
        <v>23</v>
      </c>
      <c r="E7" s="62"/>
      <c r="F7" s="62"/>
      <c r="G7" s="62"/>
      <c r="H7" s="1"/>
    </row>
    <row r="8" spans="1:8">
      <c r="A8" s="60" t="s">
        <v>4</v>
      </c>
      <c r="B8" s="60"/>
      <c r="C8" s="60"/>
      <c r="D8" s="5">
        <f>+SUM(H12:H22)</f>
        <v>1250</v>
      </c>
    </row>
    <row r="9" spans="1:8">
      <c r="A9" s="29" t="s">
        <v>37</v>
      </c>
      <c r="B9" s="29"/>
      <c r="C9" s="29"/>
      <c r="D9" s="5">
        <v>5</v>
      </c>
    </row>
    <row r="10" spans="1:8" ht="12" customHeight="1">
      <c r="A10" s="61" t="s">
        <v>6</v>
      </c>
      <c r="B10" s="61"/>
      <c r="C10" s="61"/>
      <c r="D10" s="61"/>
      <c r="E10" s="61"/>
      <c r="F10" s="61"/>
      <c r="G10" s="61"/>
      <c r="H10" s="61"/>
    </row>
    <row r="11" spans="1:8" s="7" customFormat="1" ht="21.75" customHeight="1">
      <c r="A11" s="31" t="s">
        <v>0</v>
      </c>
      <c r="B11" s="31" t="s">
        <v>1</v>
      </c>
      <c r="C11" s="31" t="s">
        <v>10</v>
      </c>
      <c r="D11" s="31" t="s">
        <v>11</v>
      </c>
      <c r="E11" s="31" t="s">
        <v>12</v>
      </c>
      <c r="F11" s="31" t="s">
        <v>13</v>
      </c>
      <c r="G11" s="31" t="s">
        <v>14</v>
      </c>
      <c r="H11" s="31" t="s">
        <v>2</v>
      </c>
    </row>
    <row r="12" spans="1:8" s="7" customFormat="1" ht="32.25" customHeight="1">
      <c r="A12" s="77" t="s">
        <v>103</v>
      </c>
      <c r="B12" s="77">
        <v>50</v>
      </c>
      <c r="C12" s="80" t="s">
        <v>113</v>
      </c>
      <c r="D12" s="80" t="s">
        <v>113</v>
      </c>
      <c r="E12" s="80" t="s">
        <v>113</v>
      </c>
      <c r="F12" s="80" t="s">
        <v>113</v>
      </c>
      <c r="G12" s="80" t="s">
        <v>113</v>
      </c>
      <c r="H12" s="27">
        <f>+B12*5</f>
        <v>250</v>
      </c>
    </row>
    <row r="13" spans="1:8" s="7" customFormat="1" ht="15" customHeight="1">
      <c r="A13" s="77" t="s">
        <v>33</v>
      </c>
      <c r="B13" s="122" t="s">
        <v>30</v>
      </c>
      <c r="C13" s="123"/>
      <c r="D13" s="123"/>
      <c r="E13" s="123"/>
      <c r="F13" s="123"/>
      <c r="G13" s="124"/>
      <c r="H13" s="39"/>
    </row>
    <row r="14" spans="1:8" s="7" customFormat="1" ht="36.75" customHeight="1">
      <c r="A14" s="77" t="s">
        <v>104</v>
      </c>
      <c r="B14" s="77">
        <v>50</v>
      </c>
      <c r="C14" s="80" t="s">
        <v>114</v>
      </c>
      <c r="D14" s="80" t="s">
        <v>114</v>
      </c>
      <c r="E14" s="80" t="s">
        <v>114</v>
      </c>
      <c r="F14" s="80" t="s">
        <v>114</v>
      </c>
      <c r="G14" s="80" t="s">
        <v>114</v>
      </c>
      <c r="H14" s="27">
        <f>+B14*5</f>
        <v>250</v>
      </c>
    </row>
    <row r="15" spans="1:8" s="7" customFormat="1" ht="15" customHeight="1">
      <c r="A15" s="77" t="s">
        <v>105</v>
      </c>
      <c r="B15" s="79">
        <v>20</v>
      </c>
      <c r="C15" s="120" t="s">
        <v>78</v>
      </c>
      <c r="D15" s="118"/>
      <c r="E15" s="118"/>
      <c r="F15" s="119"/>
      <c r="G15" s="39"/>
      <c r="H15" s="42"/>
    </row>
    <row r="16" spans="1:8" s="7" customFormat="1" ht="38.25" customHeight="1">
      <c r="A16" s="77" t="s">
        <v>106</v>
      </c>
      <c r="B16" s="77">
        <v>50</v>
      </c>
      <c r="C16" s="80" t="s">
        <v>115</v>
      </c>
      <c r="D16" s="80" t="s">
        <v>115</v>
      </c>
      <c r="E16" s="80" t="s">
        <v>115</v>
      </c>
      <c r="F16" s="80" t="s">
        <v>115</v>
      </c>
      <c r="G16" s="80" t="s">
        <v>115</v>
      </c>
      <c r="H16" s="27">
        <f>+B16*5</f>
        <v>250</v>
      </c>
    </row>
    <row r="17" spans="1:8" s="7" customFormat="1" ht="15" customHeight="1">
      <c r="A17" s="77" t="s">
        <v>107</v>
      </c>
      <c r="B17" s="122" t="s">
        <v>30</v>
      </c>
      <c r="C17" s="123" t="s">
        <v>30</v>
      </c>
      <c r="D17" s="123"/>
      <c r="E17" s="123"/>
      <c r="F17" s="123"/>
      <c r="G17" s="124"/>
      <c r="H17" s="44"/>
    </row>
    <row r="18" spans="1:8" s="7" customFormat="1" ht="30.75" customHeight="1">
      <c r="A18" s="77" t="s">
        <v>108</v>
      </c>
      <c r="B18" s="77">
        <v>50</v>
      </c>
      <c r="C18" s="80" t="s">
        <v>116</v>
      </c>
      <c r="D18" s="80" t="s">
        <v>116</v>
      </c>
      <c r="E18" s="80" t="s">
        <v>116</v>
      </c>
      <c r="F18" s="80" t="s">
        <v>116</v>
      </c>
      <c r="G18" s="80" t="s">
        <v>116</v>
      </c>
      <c r="H18" s="27">
        <f>+B18*5</f>
        <v>250</v>
      </c>
    </row>
    <row r="19" spans="1:8" s="7" customFormat="1" ht="15" customHeight="1">
      <c r="A19" s="77" t="s">
        <v>109</v>
      </c>
      <c r="B19" s="117">
        <v>30</v>
      </c>
      <c r="C19" s="120" t="s">
        <v>112</v>
      </c>
      <c r="D19" s="118"/>
      <c r="E19" s="118"/>
      <c r="F19" s="119"/>
      <c r="G19" s="42"/>
      <c r="H19" s="42"/>
    </row>
    <row r="20" spans="1:8" s="7" customFormat="1" ht="15" customHeight="1">
      <c r="A20" s="77" t="s">
        <v>110</v>
      </c>
      <c r="B20" s="122" t="s">
        <v>30</v>
      </c>
      <c r="C20" s="123" t="s">
        <v>30</v>
      </c>
      <c r="D20" s="123"/>
      <c r="E20" s="123"/>
      <c r="F20" s="123"/>
      <c r="G20" s="124"/>
      <c r="H20" s="42"/>
    </row>
    <row r="21" spans="1:8" s="7" customFormat="1" ht="33" customHeight="1">
      <c r="A21" s="77" t="s">
        <v>111</v>
      </c>
      <c r="B21" s="77">
        <v>50</v>
      </c>
      <c r="C21" s="80" t="s">
        <v>117</v>
      </c>
      <c r="D21" s="80" t="s">
        <v>117</v>
      </c>
      <c r="E21" s="80" t="s">
        <v>118</v>
      </c>
      <c r="F21" s="80" t="s">
        <v>117</v>
      </c>
      <c r="G21" s="80" t="s">
        <v>117</v>
      </c>
      <c r="H21" s="27">
        <f>+B21*5</f>
        <v>250</v>
      </c>
    </row>
    <row r="22" spans="1:8" s="7" customFormat="1" ht="15" customHeight="1">
      <c r="A22" s="42"/>
      <c r="B22" s="43"/>
      <c r="C22" s="39"/>
      <c r="D22" s="39"/>
      <c r="E22" s="39"/>
      <c r="F22" s="39"/>
      <c r="G22" s="39"/>
      <c r="H22" s="42"/>
    </row>
    <row r="23" spans="1:8">
      <c r="A23" s="2" t="s">
        <v>7</v>
      </c>
    </row>
    <row r="24" spans="1:8">
      <c r="A24" s="2"/>
    </row>
    <row r="25" spans="1:8">
      <c r="A25" s="63" t="s">
        <v>23</v>
      </c>
      <c r="B25" s="63"/>
      <c r="C25" s="63"/>
    </row>
    <row r="26" spans="1:8">
      <c r="A26" s="65" t="s">
        <v>18</v>
      </c>
      <c r="B26" s="65"/>
      <c r="C26" s="65"/>
    </row>
    <row r="27" spans="1:8">
      <c r="A27" t="s">
        <v>8</v>
      </c>
    </row>
    <row r="28" spans="1:8">
      <c r="A28" s="63" t="s">
        <v>21</v>
      </c>
      <c r="B28" s="63"/>
      <c r="C28" s="63"/>
    </row>
    <row r="29" spans="1:8">
      <c r="A29" s="64" t="s">
        <v>9</v>
      </c>
      <c r="B29" s="64"/>
      <c r="C29" s="64"/>
    </row>
  </sheetData>
  <mergeCells count="17">
    <mergeCell ref="B13:G13"/>
    <mergeCell ref="B17:G17"/>
    <mergeCell ref="B20:G20"/>
    <mergeCell ref="C19:F19"/>
    <mergeCell ref="C15:F15"/>
    <mergeCell ref="A25:C25"/>
    <mergeCell ref="A26:C26"/>
    <mergeCell ref="A28:C28"/>
    <mergeCell ref="A29:C29"/>
    <mergeCell ref="A3:H3"/>
    <mergeCell ref="A4:H4"/>
    <mergeCell ref="A5:H5"/>
    <mergeCell ref="A6:H6"/>
    <mergeCell ref="A7:C7"/>
    <mergeCell ref="D7:G7"/>
    <mergeCell ref="A8:C8"/>
    <mergeCell ref="A10:H10"/>
  </mergeCells>
  <printOptions horizontalCentered="1"/>
  <pageMargins left="0.9055118110236221" right="0.70866141732283472" top="0.35433070866141736" bottom="0.59055118110236227" header="0.31496062992125984" footer="0.31496062992125984"/>
  <pageSetup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A1:H28"/>
  <sheetViews>
    <sheetView view="pageBreakPreview" topLeftCell="A16" zoomScaleSheetLayoutView="100" workbookViewId="0">
      <selection activeCell="A6" sqref="A6:XFD6"/>
    </sheetView>
  </sheetViews>
  <sheetFormatPr defaultColWidth="8.85546875" defaultRowHeight="15"/>
  <cols>
    <col min="1" max="1" width="16.28515625" customWidth="1"/>
    <col min="2" max="2" width="10.42578125" customWidth="1"/>
    <col min="3" max="3" width="13.42578125" customWidth="1"/>
    <col min="4" max="4" width="14.28515625" customWidth="1"/>
    <col min="5" max="5" width="14.7109375" customWidth="1"/>
    <col min="6" max="6" width="14.28515625" customWidth="1"/>
    <col min="7" max="7" width="13.140625" customWidth="1"/>
    <col min="8" max="8" width="15.7109375" customWidth="1"/>
  </cols>
  <sheetData>
    <row r="1" spans="1:8" ht="15.75">
      <c r="A1" s="9" t="s">
        <v>16</v>
      </c>
    </row>
    <row r="2" spans="1:8" ht="22.5" customHeight="1">
      <c r="A2" s="56" t="s">
        <v>17</v>
      </c>
      <c r="B2" s="56"/>
      <c r="C2" s="56"/>
      <c r="D2" s="56"/>
      <c r="E2" s="56"/>
      <c r="F2" s="56"/>
      <c r="G2" s="56"/>
      <c r="H2" s="56"/>
    </row>
    <row r="3" spans="1:8">
      <c r="A3" s="57" t="s">
        <v>20</v>
      </c>
      <c r="B3" s="57"/>
      <c r="C3" s="57"/>
      <c r="D3" s="57"/>
      <c r="E3" s="57"/>
      <c r="F3" s="57"/>
      <c r="G3" s="57"/>
      <c r="H3" s="57"/>
    </row>
    <row r="4" spans="1:8" ht="15.75">
      <c r="A4" s="58" t="s">
        <v>3</v>
      </c>
      <c r="B4" s="58"/>
      <c r="C4" s="58"/>
      <c r="D4" s="58"/>
      <c r="E4" s="58"/>
      <c r="F4" s="58"/>
      <c r="G4" s="58"/>
      <c r="H4" s="58"/>
    </row>
    <row r="5" spans="1:8" ht="17.25" customHeight="1">
      <c r="A5" s="59" t="s">
        <v>38</v>
      </c>
      <c r="B5" s="58"/>
      <c r="C5" s="58"/>
      <c r="D5" s="58"/>
      <c r="E5" s="58"/>
      <c r="F5" s="58"/>
      <c r="G5" s="58"/>
      <c r="H5" s="58"/>
    </row>
    <row r="6" spans="1:8">
      <c r="A6" s="60" t="s">
        <v>5</v>
      </c>
      <c r="B6" s="60"/>
      <c r="C6" s="60"/>
      <c r="D6" s="62" t="s">
        <v>24</v>
      </c>
      <c r="E6" s="62"/>
      <c r="F6" s="62"/>
      <c r="G6" s="62"/>
      <c r="H6" s="1"/>
    </row>
    <row r="7" spans="1:8">
      <c r="A7" s="60" t="s">
        <v>4</v>
      </c>
      <c r="B7" s="60"/>
      <c r="C7" s="60"/>
      <c r="D7" s="5">
        <f>+SUM(H11:H21)</f>
        <v>1500</v>
      </c>
    </row>
    <row r="8" spans="1:8">
      <c r="A8" s="29" t="s">
        <v>37</v>
      </c>
      <c r="B8" s="29"/>
      <c r="C8" s="29"/>
      <c r="D8" s="5">
        <v>5</v>
      </c>
    </row>
    <row r="9" spans="1:8" ht="12" customHeight="1">
      <c r="A9" s="61" t="s">
        <v>6</v>
      </c>
      <c r="B9" s="61"/>
      <c r="C9" s="61"/>
      <c r="D9" s="61"/>
      <c r="E9" s="61"/>
      <c r="F9" s="61"/>
      <c r="G9" s="61"/>
      <c r="H9" s="61"/>
    </row>
    <row r="10" spans="1:8" s="7" customFormat="1" ht="21.75" customHeight="1">
      <c r="A10" s="31" t="s">
        <v>0</v>
      </c>
      <c r="B10" s="31" t="s">
        <v>1</v>
      </c>
      <c r="C10" s="31" t="s">
        <v>10</v>
      </c>
      <c r="D10" s="31" t="s">
        <v>11</v>
      </c>
      <c r="E10" s="31" t="s">
        <v>12</v>
      </c>
      <c r="F10" s="31" t="s">
        <v>13</v>
      </c>
      <c r="G10" s="31" t="s">
        <v>14</v>
      </c>
      <c r="H10" s="31" t="s">
        <v>2</v>
      </c>
    </row>
    <row r="11" spans="1:8" s="7" customFormat="1" ht="12.75" customHeight="1">
      <c r="A11" s="95" t="s">
        <v>39</v>
      </c>
      <c r="B11" s="97" t="s">
        <v>30</v>
      </c>
      <c r="C11" s="97"/>
      <c r="D11" s="97"/>
      <c r="E11" s="97"/>
      <c r="F11" s="97"/>
      <c r="G11" s="97"/>
      <c r="H11" s="47"/>
    </row>
    <row r="12" spans="1:8" s="7" customFormat="1" ht="34.5" customHeight="1">
      <c r="A12" s="77" t="s">
        <v>68</v>
      </c>
      <c r="B12" s="98">
        <v>60</v>
      </c>
      <c r="C12" s="96" t="s">
        <v>77</v>
      </c>
      <c r="D12" s="96" t="s">
        <v>77</v>
      </c>
      <c r="E12" s="96" t="s">
        <v>77</v>
      </c>
      <c r="F12" s="96" t="s">
        <v>77</v>
      </c>
      <c r="G12" s="96" t="s">
        <v>77</v>
      </c>
      <c r="H12" s="103">
        <f>+B12*5</f>
        <v>300</v>
      </c>
    </row>
    <row r="13" spans="1:8" s="7" customFormat="1" ht="11.25" customHeight="1">
      <c r="A13" s="77" t="s">
        <v>69</v>
      </c>
      <c r="B13" s="99" t="s">
        <v>30</v>
      </c>
      <c r="C13" s="99"/>
      <c r="D13" s="99"/>
      <c r="E13" s="99"/>
      <c r="F13" s="99"/>
      <c r="G13" s="99"/>
      <c r="H13" s="47"/>
    </row>
    <row r="14" spans="1:8" s="7" customFormat="1" ht="15" customHeight="1">
      <c r="A14" s="78" t="s">
        <v>70</v>
      </c>
      <c r="B14" s="100">
        <v>20</v>
      </c>
      <c r="C14" s="82" t="s">
        <v>78</v>
      </c>
      <c r="D14" s="83"/>
      <c r="E14" s="83"/>
      <c r="F14" s="84"/>
      <c r="G14" s="101"/>
      <c r="H14" s="47"/>
    </row>
    <row r="15" spans="1:8" s="7" customFormat="1" ht="34.5" customHeight="1">
      <c r="A15" s="78" t="s">
        <v>71</v>
      </c>
      <c r="B15" s="81">
        <v>60</v>
      </c>
      <c r="C15" s="80" t="s">
        <v>79</v>
      </c>
      <c r="D15" s="80" t="s">
        <v>79</v>
      </c>
      <c r="E15" s="80" t="s">
        <v>79</v>
      </c>
      <c r="F15" s="96" t="s">
        <v>77</v>
      </c>
      <c r="G15" s="96" t="s">
        <v>77</v>
      </c>
      <c r="H15" s="103">
        <f>+B15*5</f>
        <v>300</v>
      </c>
    </row>
    <row r="16" spans="1:8" s="7" customFormat="1" ht="12" customHeight="1">
      <c r="A16" s="78" t="s">
        <v>72</v>
      </c>
      <c r="B16" s="99" t="s">
        <v>30</v>
      </c>
      <c r="C16" s="99"/>
      <c r="D16" s="99"/>
      <c r="E16" s="99"/>
      <c r="F16" s="99"/>
      <c r="G16" s="99"/>
      <c r="H16" s="47"/>
    </row>
    <row r="17" spans="1:8" s="7" customFormat="1" ht="35.25" customHeight="1">
      <c r="A17" s="78" t="s">
        <v>73</v>
      </c>
      <c r="B17" s="81">
        <v>60</v>
      </c>
      <c r="C17" s="102" t="s">
        <v>80</v>
      </c>
      <c r="D17" s="102" t="s">
        <v>80</v>
      </c>
      <c r="E17" s="102" t="s">
        <v>81</v>
      </c>
      <c r="F17" s="102" t="s">
        <v>80</v>
      </c>
      <c r="G17" s="102" t="s">
        <v>80</v>
      </c>
      <c r="H17" s="103">
        <f>+B17*5</f>
        <v>300</v>
      </c>
    </row>
    <row r="18" spans="1:8" s="7" customFormat="1" ht="15" customHeight="1">
      <c r="A18" s="78" t="s">
        <v>74</v>
      </c>
      <c r="B18" s="99" t="s">
        <v>30</v>
      </c>
      <c r="C18" s="99"/>
      <c r="D18" s="99"/>
      <c r="E18" s="99"/>
      <c r="F18" s="99"/>
      <c r="G18" s="99"/>
      <c r="H18" s="47"/>
    </row>
    <row r="19" spans="1:8" s="7" customFormat="1" ht="42.75" customHeight="1">
      <c r="A19" s="78" t="s">
        <v>75</v>
      </c>
      <c r="B19" s="81">
        <v>60</v>
      </c>
      <c r="C19" s="80" t="s">
        <v>82</v>
      </c>
      <c r="D19" s="80" t="s">
        <v>82</v>
      </c>
      <c r="E19" s="80" t="s">
        <v>82</v>
      </c>
      <c r="F19" s="80" t="s">
        <v>82</v>
      </c>
      <c r="G19" s="80" t="s">
        <v>82</v>
      </c>
      <c r="H19" s="103">
        <f>+B19*5</f>
        <v>300</v>
      </c>
    </row>
    <row r="20" spans="1:8" s="7" customFormat="1" ht="15" customHeight="1">
      <c r="A20" s="78" t="s">
        <v>32</v>
      </c>
      <c r="B20" s="99" t="s">
        <v>30</v>
      </c>
      <c r="C20" s="99"/>
      <c r="D20" s="99"/>
      <c r="E20" s="99"/>
      <c r="F20" s="99"/>
      <c r="G20" s="99"/>
      <c r="H20" s="47"/>
    </row>
    <row r="21" spans="1:8" s="7" customFormat="1" ht="45" customHeight="1">
      <c r="A21" s="78" t="s">
        <v>76</v>
      </c>
      <c r="B21" s="81">
        <v>60</v>
      </c>
      <c r="C21" s="80" t="s">
        <v>83</v>
      </c>
      <c r="D21" s="80" t="s">
        <v>83</v>
      </c>
      <c r="E21" s="80" t="s">
        <v>83</v>
      </c>
      <c r="F21" s="80" t="s">
        <v>83</v>
      </c>
      <c r="G21" s="80" t="s">
        <v>83</v>
      </c>
      <c r="H21" s="103">
        <f>+B21*5</f>
        <v>300</v>
      </c>
    </row>
    <row r="22" spans="1:8">
      <c r="A22" s="2" t="s">
        <v>7</v>
      </c>
      <c r="H22" s="1"/>
    </row>
    <row r="23" spans="1:8" ht="11.25" customHeight="1">
      <c r="A23" s="2"/>
      <c r="H23" s="1"/>
    </row>
    <row r="24" spans="1:8">
      <c r="A24" s="63" t="s">
        <v>24</v>
      </c>
      <c r="B24" s="63"/>
      <c r="C24" s="63"/>
      <c r="H24" s="1"/>
    </row>
    <row r="25" spans="1:8">
      <c r="A25" s="65" t="s">
        <v>18</v>
      </c>
      <c r="B25" s="65"/>
      <c r="C25" s="65"/>
    </row>
    <row r="26" spans="1:8">
      <c r="A26" t="s">
        <v>8</v>
      </c>
    </row>
    <row r="27" spans="1:8">
      <c r="A27" s="63" t="s">
        <v>21</v>
      </c>
      <c r="B27" s="63"/>
      <c r="C27" s="63"/>
    </row>
    <row r="28" spans="1:8">
      <c r="A28" s="64" t="s">
        <v>9</v>
      </c>
      <c r="B28" s="64"/>
      <c r="C28" s="64"/>
    </row>
  </sheetData>
  <mergeCells count="18">
    <mergeCell ref="B20:G20"/>
    <mergeCell ref="A2:H2"/>
    <mergeCell ref="A3:H3"/>
    <mergeCell ref="A4:H4"/>
    <mergeCell ref="A5:H5"/>
    <mergeCell ref="A6:C6"/>
    <mergeCell ref="D6:G6"/>
    <mergeCell ref="A24:C24"/>
    <mergeCell ref="A25:C25"/>
    <mergeCell ref="A27:C27"/>
    <mergeCell ref="A28:C28"/>
    <mergeCell ref="A7:C7"/>
    <mergeCell ref="A9:H9"/>
    <mergeCell ref="C14:F14"/>
    <mergeCell ref="B11:G11"/>
    <mergeCell ref="B13:G13"/>
    <mergeCell ref="B16:G16"/>
    <mergeCell ref="B18:G18"/>
  </mergeCells>
  <pageMargins left="0.9055118110236221" right="0.70866141732283472" top="0.35433070866141736" bottom="0.59055118110236227" header="0.31496062992125984" footer="0.31496062992125984"/>
  <pageSetup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I38"/>
  <sheetViews>
    <sheetView view="pageBreakPreview" topLeftCell="A25" zoomScaleSheetLayoutView="100" workbookViewId="0">
      <selection activeCell="O36" sqref="O36"/>
    </sheetView>
  </sheetViews>
  <sheetFormatPr defaultColWidth="8.85546875" defaultRowHeight="15"/>
  <cols>
    <col min="1" max="1" width="16.140625" customWidth="1"/>
    <col min="2" max="2" width="8.28515625" customWidth="1"/>
    <col min="3" max="3" width="13.42578125" customWidth="1"/>
    <col min="4" max="4" width="10.85546875" customWidth="1"/>
    <col min="5" max="5" width="12.85546875" customWidth="1"/>
    <col min="6" max="6" width="12.42578125" customWidth="1"/>
    <col min="7" max="7" width="11.140625" customWidth="1"/>
    <col min="8" max="8" width="11.5703125" customWidth="1"/>
  </cols>
  <sheetData>
    <row r="1" spans="1:9" ht="15.75">
      <c r="A1" s="9" t="s">
        <v>16</v>
      </c>
    </row>
    <row r="2" spans="1:9" ht="15.75">
      <c r="A2" s="36"/>
    </row>
    <row r="3" spans="1:9" ht="11.25" customHeight="1">
      <c r="A3" s="56" t="s">
        <v>17</v>
      </c>
      <c r="B3" s="56"/>
      <c r="C3" s="56"/>
      <c r="D3" s="56"/>
      <c r="E3" s="56"/>
      <c r="F3" s="56"/>
      <c r="G3" s="56"/>
      <c r="H3" s="56"/>
      <c r="I3" s="56"/>
    </row>
    <row r="4" spans="1:9">
      <c r="A4" s="57" t="s">
        <v>20</v>
      </c>
      <c r="B4" s="57"/>
      <c r="C4" s="57"/>
      <c r="D4" s="57"/>
      <c r="E4" s="57"/>
      <c r="F4" s="57"/>
      <c r="G4" s="57"/>
      <c r="H4" s="57"/>
      <c r="I4" s="57"/>
    </row>
    <row r="5" spans="1:9" ht="14.25" customHeight="1">
      <c r="A5" s="58" t="s">
        <v>3</v>
      </c>
      <c r="B5" s="58"/>
      <c r="C5" s="58"/>
      <c r="D5" s="58"/>
      <c r="E5" s="58"/>
      <c r="F5" s="58"/>
      <c r="G5" s="58"/>
      <c r="H5" s="58"/>
      <c r="I5" s="58"/>
    </row>
    <row r="6" spans="1:9" ht="16.5" customHeight="1">
      <c r="A6" s="59" t="s">
        <v>38</v>
      </c>
      <c r="B6" s="59"/>
      <c r="C6" s="59"/>
      <c r="D6" s="59"/>
      <c r="E6" s="59"/>
      <c r="F6" s="59"/>
      <c r="G6" s="59"/>
      <c r="H6" s="59"/>
      <c r="I6" s="59"/>
    </row>
    <row r="7" spans="1:9" ht="16.5" customHeight="1">
      <c r="A7" s="28"/>
      <c r="B7" s="28"/>
      <c r="C7" s="28"/>
      <c r="D7" s="28"/>
      <c r="E7" s="28"/>
      <c r="F7" s="28"/>
      <c r="G7" s="28"/>
      <c r="H7" s="28"/>
      <c r="I7" s="28"/>
    </row>
    <row r="8" spans="1:9">
      <c r="A8" s="60" t="s">
        <v>5</v>
      </c>
      <c r="B8" s="60"/>
      <c r="C8" s="60"/>
      <c r="D8" s="62" t="s">
        <v>26</v>
      </c>
      <c r="E8" s="62"/>
      <c r="F8" s="62"/>
      <c r="G8" s="62"/>
      <c r="H8" s="1"/>
    </row>
    <row r="9" spans="1:9">
      <c r="A9" s="60" t="s">
        <v>4</v>
      </c>
      <c r="B9" s="60"/>
      <c r="C9" s="60"/>
      <c r="D9" s="17">
        <f>+SUM(H13:H24)</f>
        <v>1350</v>
      </c>
    </row>
    <row r="10" spans="1:9">
      <c r="A10" s="29" t="s">
        <v>37</v>
      </c>
      <c r="B10" s="29"/>
      <c r="C10" s="29"/>
      <c r="D10" s="17">
        <v>5</v>
      </c>
    </row>
    <row r="11" spans="1:9" ht="12" customHeight="1">
      <c r="A11" s="61" t="s">
        <v>6</v>
      </c>
      <c r="B11" s="61"/>
      <c r="C11" s="61"/>
      <c r="D11" s="61"/>
      <c r="E11" s="61"/>
      <c r="F11" s="61"/>
      <c r="G11" s="61"/>
      <c r="H11" s="61"/>
    </row>
    <row r="12" spans="1:9" s="7" customFormat="1" ht="24" customHeight="1">
      <c r="A12" s="23" t="s">
        <v>0</v>
      </c>
      <c r="B12" s="11" t="s">
        <v>1</v>
      </c>
      <c r="C12" s="11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H12" s="11" t="s">
        <v>2</v>
      </c>
      <c r="I12" s="16"/>
    </row>
    <row r="13" spans="1:9" s="7" customFormat="1" ht="33.75" customHeight="1">
      <c r="A13" s="77" t="s">
        <v>39</v>
      </c>
      <c r="B13" s="53">
        <v>40</v>
      </c>
      <c r="C13" s="52" t="s">
        <v>63</v>
      </c>
      <c r="D13" s="52" t="s">
        <v>63</v>
      </c>
      <c r="E13" s="52" t="s">
        <v>63</v>
      </c>
      <c r="F13" s="52" t="s">
        <v>63</v>
      </c>
      <c r="G13" s="52" t="s">
        <v>63</v>
      </c>
      <c r="H13" s="94">
        <f>+B13*5</f>
        <v>200</v>
      </c>
      <c r="I13" s="16"/>
    </row>
    <row r="14" spans="1:9" s="7" customFormat="1" ht="22.5" customHeight="1">
      <c r="A14" s="77" t="s">
        <v>53</v>
      </c>
      <c r="B14" s="85"/>
      <c r="C14" s="86" t="s">
        <v>30</v>
      </c>
      <c r="D14" s="87"/>
      <c r="E14" s="87"/>
      <c r="F14" s="87"/>
      <c r="G14" s="88"/>
      <c r="H14" s="49"/>
      <c r="I14" s="16"/>
    </row>
    <row r="15" spans="1:9" s="7" customFormat="1" ht="30" customHeight="1">
      <c r="A15" s="77" t="s">
        <v>54</v>
      </c>
      <c r="B15" s="53">
        <v>40</v>
      </c>
      <c r="C15" s="52" t="s">
        <v>64</v>
      </c>
      <c r="D15" s="52" t="s">
        <v>64</v>
      </c>
      <c r="E15" s="52" t="s">
        <v>64</v>
      </c>
      <c r="F15" s="52" t="s">
        <v>64</v>
      </c>
      <c r="G15" s="52" t="s">
        <v>64</v>
      </c>
      <c r="H15" s="94">
        <f>+B15*5</f>
        <v>200</v>
      </c>
      <c r="I15" s="16"/>
    </row>
    <row r="16" spans="1:9" s="7" customFormat="1" ht="15" customHeight="1">
      <c r="A16" s="77" t="s">
        <v>55</v>
      </c>
      <c r="B16" s="89">
        <v>70</v>
      </c>
      <c r="C16" s="90" t="s">
        <v>47</v>
      </c>
      <c r="D16" s="91"/>
      <c r="E16" s="91"/>
      <c r="F16" s="92"/>
      <c r="G16" s="93"/>
      <c r="H16" s="94">
        <f>+B16*5</f>
        <v>350</v>
      </c>
      <c r="I16" s="16"/>
    </row>
    <row r="17" spans="1:9" s="7" customFormat="1" ht="22.5" customHeight="1">
      <c r="A17" s="77" t="s">
        <v>56</v>
      </c>
      <c r="B17" s="85"/>
      <c r="C17" s="86" t="s">
        <v>30</v>
      </c>
      <c r="D17" s="87"/>
      <c r="E17" s="87"/>
      <c r="F17" s="87"/>
      <c r="G17" s="88"/>
      <c r="H17" s="49"/>
      <c r="I17" s="16"/>
    </row>
    <row r="18" spans="1:9" s="7" customFormat="1" ht="30.75" customHeight="1">
      <c r="A18" s="78" t="s">
        <v>43</v>
      </c>
      <c r="B18" s="53">
        <v>40</v>
      </c>
      <c r="C18" s="52" t="s">
        <v>65</v>
      </c>
      <c r="D18" s="52" t="s">
        <v>65</v>
      </c>
      <c r="E18" s="52" t="s">
        <v>65</v>
      </c>
      <c r="F18" s="52" t="s">
        <v>65</v>
      </c>
      <c r="G18" s="52" t="s">
        <v>65</v>
      </c>
      <c r="H18" s="94">
        <f>+B18*5</f>
        <v>200</v>
      </c>
      <c r="I18" s="16"/>
    </row>
    <row r="19" spans="1:9" s="7" customFormat="1" ht="22.5" customHeight="1">
      <c r="A19" s="77" t="s">
        <v>57</v>
      </c>
      <c r="B19" s="85"/>
      <c r="C19" s="86" t="s">
        <v>30</v>
      </c>
      <c r="D19" s="87"/>
      <c r="E19" s="87"/>
      <c r="F19" s="87"/>
      <c r="G19" s="88"/>
      <c r="H19" s="49"/>
      <c r="I19" s="16"/>
    </row>
    <row r="20" spans="1:9" s="7" customFormat="1" ht="22.5" customHeight="1">
      <c r="A20" s="77" t="s">
        <v>58</v>
      </c>
      <c r="B20" s="85"/>
      <c r="C20" s="86" t="s">
        <v>30</v>
      </c>
      <c r="D20" s="87"/>
      <c r="E20" s="87"/>
      <c r="F20" s="87"/>
      <c r="G20" s="88"/>
      <c r="H20" s="49"/>
      <c r="I20" s="16"/>
    </row>
    <row r="21" spans="1:9" ht="33" customHeight="1">
      <c r="A21" s="78" t="s">
        <v>59</v>
      </c>
      <c r="B21" s="53">
        <v>40</v>
      </c>
      <c r="C21" s="52" t="s">
        <v>66</v>
      </c>
      <c r="D21" s="52" t="s">
        <v>66</v>
      </c>
      <c r="E21" s="52" t="s">
        <v>66</v>
      </c>
      <c r="F21" s="52" t="s">
        <v>66</v>
      </c>
      <c r="G21" s="52" t="s">
        <v>66</v>
      </c>
      <c r="H21" s="94">
        <f>+B21*5</f>
        <v>200</v>
      </c>
      <c r="I21" s="16"/>
    </row>
    <row r="22" spans="1:9" s="7" customFormat="1" ht="22.5" customHeight="1">
      <c r="A22" s="77" t="s">
        <v>60</v>
      </c>
      <c r="B22" s="85"/>
      <c r="C22" s="86" t="s">
        <v>30</v>
      </c>
      <c r="D22" s="87"/>
      <c r="E22" s="87"/>
      <c r="F22" s="87"/>
      <c r="G22" s="88"/>
      <c r="H22" s="49"/>
      <c r="I22" s="16"/>
    </row>
    <row r="23" spans="1:9" ht="35.25" customHeight="1">
      <c r="A23" s="78" t="s">
        <v>61</v>
      </c>
      <c r="B23" s="53">
        <v>40</v>
      </c>
      <c r="C23" s="52" t="s">
        <v>67</v>
      </c>
      <c r="D23" s="52" t="s">
        <v>67</v>
      </c>
      <c r="E23" s="52" t="s">
        <v>67</v>
      </c>
      <c r="F23" s="52" t="s">
        <v>67</v>
      </c>
      <c r="G23" s="52" t="s">
        <v>67</v>
      </c>
      <c r="H23" s="94">
        <f>+B23*5</f>
        <v>200</v>
      </c>
      <c r="I23" s="16"/>
    </row>
    <row r="24" spans="1:9" ht="15" customHeight="1">
      <c r="A24" s="51" t="s">
        <v>62</v>
      </c>
      <c r="B24" s="53">
        <v>60</v>
      </c>
      <c r="C24" s="90" t="s">
        <v>47</v>
      </c>
      <c r="D24" s="91"/>
      <c r="E24" s="91"/>
      <c r="F24" s="92"/>
      <c r="G24" s="93"/>
      <c r="H24" s="48"/>
      <c r="I24" s="16"/>
    </row>
    <row r="25" spans="1:9">
      <c r="A25" s="2"/>
      <c r="H25" s="18"/>
    </row>
    <row r="26" spans="1:9">
      <c r="A26" s="63" t="s">
        <v>26</v>
      </c>
      <c r="B26" s="63"/>
      <c r="C26" s="63"/>
      <c r="H26" s="18"/>
    </row>
    <row r="27" spans="1:9">
      <c r="A27" s="65" t="s">
        <v>18</v>
      </c>
      <c r="B27" s="65"/>
      <c r="C27" s="65"/>
      <c r="H27" s="18"/>
    </row>
    <row r="28" spans="1:9">
      <c r="A28" t="s">
        <v>8</v>
      </c>
      <c r="H28" s="18"/>
    </row>
    <row r="29" spans="1:9">
      <c r="A29" s="63" t="s">
        <v>21</v>
      </c>
      <c r="B29" s="63"/>
      <c r="C29" s="63"/>
      <c r="H29" s="18"/>
    </row>
    <row r="30" spans="1:9">
      <c r="A30" s="64" t="s">
        <v>9</v>
      </c>
      <c r="B30" s="64"/>
      <c r="C30" s="64"/>
      <c r="H30" s="18"/>
    </row>
    <row r="31" spans="1:9">
      <c r="H31" s="18"/>
    </row>
    <row r="32" spans="1:9">
      <c r="H32" s="18"/>
    </row>
    <row r="33" spans="8:8">
      <c r="H33" s="18"/>
    </row>
    <row r="34" spans="8:8">
      <c r="H34" s="18"/>
    </row>
    <row r="35" spans="8:8">
      <c r="H35" s="18"/>
    </row>
    <row r="36" spans="8:8">
      <c r="H36" s="18"/>
    </row>
    <row r="37" spans="8:8">
      <c r="H37" s="18"/>
    </row>
    <row r="38" spans="8:8">
      <c r="H38" s="18"/>
    </row>
  </sheetData>
  <mergeCells count="19">
    <mergeCell ref="A3:I3"/>
    <mergeCell ref="A6:I6"/>
    <mergeCell ref="C16:F16"/>
    <mergeCell ref="C17:G17"/>
    <mergeCell ref="C14:G14"/>
    <mergeCell ref="A8:C8"/>
    <mergeCell ref="D8:G8"/>
    <mergeCell ref="A4:I4"/>
    <mergeCell ref="A5:I5"/>
    <mergeCell ref="A27:C27"/>
    <mergeCell ref="A29:C29"/>
    <mergeCell ref="A30:C30"/>
    <mergeCell ref="A26:C26"/>
    <mergeCell ref="A9:C9"/>
    <mergeCell ref="A11:H11"/>
    <mergeCell ref="C24:F24"/>
    <mergeCell ref="C19:G19"/>
    <mergeCell ref="C20:G20"/>
    <mergeCell ref="C22:G22"/>
  </mergeCells>
  <printOptions horizontalCentered="1"/>
  <pageMargins left="0.9055118110236221" right="0.70866141732283472" top="0.15748031496062992" bottom="0" header="0.31496062992125984" footer="0.31496062992125984"/>
  <pageSetup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FFFF00"/>
  </sheetPr>
  <dimension ref="A1:I40"/>
  <sheetViews>
    <sheetView view="pageBreakPreview" topLeftCell="A16" zoomScaleSheetLayoutView="100" workbookViewId="0">
      <selection activeCell="A2" sqref="A2:XFD2"/>
    </sheetView>
  </sheetViews>
  <sheetFormatPr defaultColWidth="8.85546875" defaultRowHeight="15"/>
  <cols>
    <col min="1" max="1" width="18.140625" customWidth="1"/>
    <col min="2" max="2" width="9.42578125" customWidth="1"/>
    <col min="3" max="3" width="15" customWidth="1"/>
    <col min="4" max="4" width="13.28515625" customWidth="1"/>
    <col min="5" max="5" width="15.140625" customWidth="1"/>
    <col min="6" max="6" width="14.140625" customWidth="1"/>
    <col min="7" max="7" width="15" customWidth="1"/>
    <col min="8" max="8" width="11.5703125" customWidth="1"/>
  </cols>
  <sheetData>
    <row r="1" spans="1:9" ht="15.75">
      <c r="A1" s="9" t="s">
        <v>16</v>
      </c>
    </row>
    <row r="2" spans="1:9" ht="13.5" customHeight="1">
      <c r="A2" s="56" t="s">
        <v>17</v>
      </c>
      <c r="B2" s="56"/>
      <c r="C2" s="56"/>
      <c r="D2" s="56"/>
      <c r="E2" s="56"/>
      <c r="F2" s="56"/>
      <c r="G2" s="56"/>
      <c r="H2" s="56"/>
    </row>
    <row r="3" spans="1:9">
      <c r="A3" s="57" t="s">
        <v>20</v>
      </c>
      <c r="B3" s="57"/>
      <c r="C3" s="57"/>
      <c r="D3" s="57"/>
      <c r="E3" s="57"/>
      <c r="F3" s="57"/>
      <c r="G3" s="57"/>
      <c r="H3" s="57"/>
    </row>
    <row r="4" spans="1:9" ht="15.75">
      <c r="A4" s="58" t="s">
        <v>3</v>
      </c>
      <c r="B4" s="58"/>
      <c r="C4" s="58"/>
      <c r="D4" s="58"/>
      <c r="E4" s="58"/>
      <c r="F4" s="58"/>
      <c r="G4" s="58"/>
      <c r="H4" s="58"/>
    </row>
    <row r="5" spans="1:9" ht="14.25" customHeight="1">
      <c r="A5" s="59" t="s">
        <v>38</v>
      </c>
      <c r="B5" s="58"/>
      <c r="C5" s="58"/>
      <c r="D5" s="58"/>
      <c r="E5" s="58"/>
      <c r="F5" s="58"/>
      <c r="G5" s="58"/>
      <c r="H5" s="58"/>
    </row>
    <row r="6" spans="1:9" ht="14.25" customHeight="1">
      <c r="A6" s="36"/>
      <c r="B6" s="35"/>
      <c r="C6" s="35"/>
      <c r="D6" s="35"/>
      <c r="E6" s="35"/>
      <c r="F6" s="35"/>
      <c r="G6" s="35"/>
      <c r="H6" s="35"/>
    </row>
    <row r="7" spans="1:9">
      <c r="A7" s="60" t="s">
        <v>5</v>
      </c>
      <c r="B7" s="60"/>
      <c r="C7" s="60"/>
      <c r="D7" s="62" t="s">
        <v>28</v>
      </c>
      <c r="E7" s="62"/>
      <c r="F7" s="62"/>
      <c r="G7" s="62"/>
      <c r="H7" s="1"/>
    </row>
    <row r="8" spans="1:9">
      <c r="A8" s="60" t="s">
        <v>4</v>
      </c>
      <c r="B8" s="60"/>
      <c r="C8" s="60"/>
      <c r="D8" s="17">
        <f>+SUM(H12:H25)</f>
        <v>1350</v>
      </c>
    </row>
    <row r="9" spans="1:9">
      <c r="A9" s="33" t="s">
        <v>37</v>
      </c>
      <c r="B9" s="33"/>
      <c r="C9" s="34"/>
      <c r="D9" s="76">
        <v>5</v>
      </c>
    </row>
    <row r="10" spans="1:9" ht="12" customHeight="1">
      <c r="A10" s="61" t="s">
        <v>6</v>
      </c>
      <c r="B10" s="61"/>
      <c r="C10" s="61"/>
      <c r="D10" s="61"/>
      <c r="E10" s="61"/>
      <c r="F10" s="61"/>
      <c r="G10" s="61"/>
      <c r="H10" s="61"/>
    </row>
    <row r="11" spans="1:9" s="7" customFormat="1" ht="25.5" customHeight="1">
      <c r="A11" s="11" t="s">
        <v>0</v>
      </c>
      <c r="B11" s="11" t="s">
        <v>1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2</v>
      </c>
      <c r="I11" s="16"/>
    </row>
    <row r="12" spans="1:9" s="7" customFormat="1" ht="36" customHeight="1">
      <c r="A12" s="51" t="s">
        <v>39</v>
      </c>
      <c r="B12" s="53">
        <v>40</v>
      </c>
      <c r="C12" s="52" t="s">
        <v>48</v>
      </c>
      <c r="D12" s="52" t="s">
        <v>48</v>
      </c>
      <c r="E12" s="52" t="s">
        <v>48</v>
      </c>
      <c r="F12" s="52" t="s">
        <v>48</v>
      </c>
      <c r="G12" s="52" t="s">
        <v>48</v>
      </c>
      <c r="H12" s="55">
        <f>40*5</f>
        <v>200</v>
      </c>
      <c r="I12" s="16"/>
    </row>
    <row r="13" spans="1:9" s="7" customFormat="1" ht="14.25" customHeight="1">
      <c r="A13" s="51" t="s">
        <v>40</v>
      </c>
      <c r="B13" s="69" t="s">
        <v>30</v>
      </c>
      <c r="C13" s="70"/>
      <c r="D13" s="70"/>
      <c r="E13" s="70"/>
      <c r="F13" s="70"/>
      <c r="G13" s="71"/>
      <c r="H13" s="50"/>
      <c r="I13" s="16"/>
    </row>
    <row r="14" spans="1:9" s="7" customFormat="1" ht="33" customHeight="1">
      <c r="A14" s="51" t="s">
        <v>33</v>
      </c>
      <c r="B14" s="53">
        <v>40</v>
      </c>
      <c r="C14" s="52" t="s">
        <v>49</v>
      </c>
      <c r="D14" s="52" t="s">
        <v>49</v>
      </c>
      <c r="E14" s="52" t="s">
        <v>49</v>
      </c>
      <c r="F14" s="52" t="s">
        <v>49</v>
      </c>
      <c r="G14" s="52" t="s">
        <v>49</v>
      </c>
      <c r="H14" s="55">
        <f>40*5</f>
        <v>200</v>
      </c>
      <c r="I14" s="16"/>
    </row>
    <row r="15" spans="1:9" s="7" customFormat="1" ht="15" customHeight="1">
      <c r="A15" s="51" t="s">
        <v>34</v>
      </c>
      <c r="B15" s="69" t="s">
        <v>30</v>
      </c>
      <c r="C15" s="70"/>
      <c r="D15" s="70"/>
      <c r="E15" s="70"/>
      <c r="F15" s="70"/>
      <c r="G15" s="71"/>
      <c r="H15" s="50"/>
      <c r="I15" s="16"/>
    </row>
    <row r="16" spans="1:9" s="7" customFormat="1" ht="30" customHeight="1">
      <c r="A16" s="51" t="s">
        <v>41</v>
      </c>
      <c r="B16" s="53">
        <v>40</v>
      </c>
      <c r="C16" s="52" t="s">
        <v>50</v>
      </c>
      <c r="D16" s="52" t="s">
        <v>50</v>
      </c>
      <c r="E16" s="52" t="s">
        <v>50</v>
      </c>
      <c r="F16" s="52" t="s">
        <v>50</v>
      </c>
      <c r="G16" s="52" t="s">
        <v>50</v>
      </c>
      <c r="H16" s="55">
        <f>40*5</f>
        <v>200</v>
      </c>
      <c r="I16" s="16"/>
    </row>
    <row r="17" spans="1:9" s="7" customFormat="1" ht="12.75" customHeight="1">
      <c r="A17" s="51" t="s">
        <v>42</v>
      </c>
      <c r="B17" s="69" t="s">
        <v>30</v>
      </c>
      <c r="C17" s="70"/>
      <c r="D17" s="70"/>
      <c r="E17" s="70"/>
      <c r="F17" s="70"/>
      <c r="G17" s="71"/>
      <c r="H17" s="50"/>
      <c r="I17" s="16"/>
    </row>
    <row r="18" spans="1:9" s="7" customFormat="1" ht="15" customHeight="1">
      <c r="A18" s="51" t="s">
        <v>29</v>
      </c>
      <c r="B18" s="69" t="s">
        <v>30</v>
      </c>
      <c r="C18" s="70"/>
      <c r="D18" s="70"/>
      <c r="E18" s="70"/>
      <c r="F18" s="70"/>
      <c r="G18" s="71"/>
      <c r="H18" s="50"/>
      <c r="I18" s="16"/>
    </row>
    <row r="19" spans="1:9" s="7" customFormat="1" ht="15" customHeight="1">
      <c r="A19" s="51" t="s">
        <v>43</v>
      </c>
      <c r="B19" s="69" t="s">
        <v>30</v>
      </c>
      <c r="C19" s="70"/>
      <c r="D19" s="70"/>
      <c r="E19" s="70"/>
      <c r="F19" s="70"/>
      <c r="G19" s="71"/>
      <c r="H19" s="50"/>
      <c r="I19" s="16"/>
    </row>
    <row r="20" spans="1:9" s="7" customFormat="1" ht="15" customHeight="1">
      <c r="A20" s="51" t="s">
        <v>44</v>
      </c>
      <c r="B20" s="53">
        <v>70</v>
      </c>
      <c r="C20" s="72" t="s">
        <v>47</v>
      </c>
      <c r="D20" s="73"/>
      <c r="E20" s="73"/>
      <c r="F20" s="74"/>
      <c r="G20" s="54"/>
      <c r="H20" s="55">
        <f>70*5</f>
        <v>350</v>
      </c>
      <c r="I20" s="16"/>
    </row>
    <row r="21" spans="1:9" s="7" customFormat="1" ht="15" customHeight="1">
      <c r="A21" s="51" t="s">
        <v>31</v>
      </c>
      <c r="B21" s="69" t="s">
        <v>30</v>
      </c>
      <c r="C21" s="70"/>
      <c r="D21" s="70"/>
      <c r="E21" s="70"/>
      <c r="F21" s="70"/>
      <c r="G21" s="71"/>
      <c r="H21" s="50"/>
      <c r="I21" s="16"/>
    </row>
    <row r="22" spans="1:9" s="7" customFormat="1" ht="30.75" customHeight="1">
      <c r="A22" s="51" t="s">
        <v>32</v>
      </c>
      <c r="B22" s="53">
        <v>40</v>
      </c>
      <c r="C22" s="52" t="s">
        <v>51</v>
      </c>
      <c r="D22" s="52" t="s">
        <v>51</v>
      </c>
      <c r="E22" s="52" t="s">
        <v>51</v>
      </c>
      <c r="F22" s="52" t="s">
        <v>51</v>
      </c>
      <c r="G22" s="52" t="s">
        <v>51</v>
      </c>
      <c r="H22" s="55">
        <f>40*5</f>
        <v>200</v>
      </c>
      <c r="I22" s="16"/>
    </row>
    <row r="23" spans="1:9" s="7" customFormat="1" ht="27" customHeight="1">
      <c r="A23" s="51" t="s">
        <v>45</v>
      </c>
      <c r="B23" s="69" t="s">
        <v>30</v>
      </c>
      <c r="C23" s="70"/>
      <c r="D23" s="70"/>
      <c r="E23" s="70"/>
      <c r="F23" s="70"/>
      <c r="G23" s="71"/>
      <c r="H23" s="50"/>
      <c r="I23" s="16"/>
    </row>
    <row r="24" spans="1:9" s="7" customFormat="1" ht="31.5" customHeight="1">
      <c r="A24" s="51" t="s">
        <v>46</v>
      </c>
      <c r="B24" s="53">
        <v>40</v>
      </c>
      <c r="C24" s="52" t="s">
        <v>52</v>
      </c>
      <c r="D24" s="52" t="s">
        <v>52</v>
      </c>
      <c r="E24" s="52" t="s">
        <v>52</v>
      </c>
      <c r="F24" s="52" t="s">
        <v>52</v>
      </c>
      <c r="G24" s="52" t="s">
        <v>52</v>
      </c>
      <c r="H24" s="55">
        <f>40*5</f>
        <v>200</v>
      </c>
      <c r="I24" s="16"/>
    </row>
    <row r="25" spans="1:9" s="7" customFormat="1" ht="15" customHeight="1">
      <c r="A25" s="51" t="s">
        <v>35</v>
      </c>
      <c r="B25" s="53">
        <v>50</v>
      </c>
      <c r="C25" s="66" t="s">
        <v>47</v>
      </c>
      <c r="D25" s="67"/>
      <c r="E25" s="67"/>
      <c r="F25" s="67"/>
      <c r="G25" s="68"/>
      <c r="H25" s="50"/>
      <c r="I25" s="16"/>
    </row>
    <row r="26" spans="1:9">
      <c r="A26" s="2" t="s">
        <v>7</v>
      </c>
      <c r="H26" s="18"/>
    </row>
    <row r="27" spans="1:9">
      <c r="A27" s="2"/>
      <c r="H27" s="18"/>
    </row>
    <row r="28" spans="1:9">
      <c r="A28" s="63" t="s">
        <v>28</v>
      </c>
      <c r="B28" s="63"/>
      <c r="C28" s="63"/>
      <c r="H28" s="18"/>
    </row>
    <row r="29" spans="1:9">
      <c r="A29" s="65" t="s">
        <v>18</v>
      </c>
      <c r="B29" s="65"/>
      <c r="C29" s="65"/>
      <c r="H29" s="18"/>
    </row>
    <row r="30" spans="1:9">
      <c r="A30" t="s">
        <v>8</v>
      </c>
      <c r="H30" s="18"/>
    </row>
    <row r="31" spans="1:9">
      <c r="A31" s="63" t="s">
        <v>21</v>
      </c>
      <c r="B31" s="63"/>
      <c r="C31" s="63"/>
      <c r="H31" s="18"/>
    </row>
    <row r="32" spans="1:9">
      <c r="A32" s="64" t="s">
        <v>9</v>
      </c>
      <c r="B32" s="64"/>
      <c r="C32" s="64"/>
      <c r="H32" s="18"/>
    </row>
    <row r="33" spans="8:8">
      <c r="H33" s="18"/>
    </row>
    <row r="34" spans="8:8">
      <c r="H34" s="18"/>
    </row>
    <row r="35" spans="8:8">
      <c r="H35" s="18"/>
    </row>
    <row r="36" spans="8:8">
      <c r="H36" s="18"/>
    </row>
    <row r="37" spans="8:8">
      <c r="H37" s="18"/>
    </row>
    <row r="38" spans="8:8">
      <c r="H38" s="18"/>
    </row>
    <row r="39" spans="8:8">
      <c r="H39" s="18"/>
    </row>
    <row r="40" spans="8:8">
      <c r="H40" s="18"/>
    </row>
  </sheetData>
  <mergeCells count="21">
    <mergeCell ref="A8:C8"/>
    <mergeCell ref="A10:H10"/>
    <mergeCell ref="A2:H2"/>
    <mergeCell ref="A3:H3"/>
    <mergeCell ref="A4:H4"/>
    <mergeCell ref="A5:H5"/>
    <mergeCell ref="A7:C7"/>
    <mergeCell ref="D7:G7"/>
    <mergeCell ref="B13:G13"/>
    <mergeCell ref="A28:C28"/>
    <mergeCell ref="A29:C29"/>
    <mergeCell ref="A31:C31"/>
    <mergeCell ref="A32:C32"/>
    <mergeCell ref="C20:F20"/>
    <mergeCell ref="B23:G23"/>
    <mergeCell ref="C25:G25"/>
    <mergeCell ref="B15:G15"/>
    <mergeCell ref="B17:G17"/>
    <mergeCell ref="B18:G18"/>
    <mergeCell ref="B19:G19"/>
    <mergeCell ref="B21:G21"/>
  </mergeCells>
  <pageMargins left="0.9055118110236221" right="0.70866141732283472" top="0.35433070866141736" bottom="0" header="0.31496062992125984" footer="0.31496062992125984"/>
  <pageSetup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I29"/>
  <sheetViews>
    <sheetView view="pageBreakPreview" zoomScale="60" zoomScaleNormal="88" workbookViewId="0">
      <pane xSplit="1" ySplit="11" topLeftCell="B12" activePane="bottomRight" state="frozen"/>
      <selection activeCell="A9" sqref="A9:E9"/>
      <selection pane="topRight" activeCell="A9" sqref="A9:E9"/>
      <selection pane="bottomLeft" activeCell="A9" sqref="A9:E9"/>
      <selection pane="bottomRight" activeCell="K28" sqref="K28"/>
    </sheetView>
  </sheetViews>
  <sheetFormatPr defaultColWidth="8.85546875" defaultRowHeight="15"/>
  <cols>
    <col min="1" max="1" width="15.28515625" customWidth="1"/>
    <col min="2" max="2" width="9.42578125" customWidth="1"/>
    <col min="3" max="3" width="15.5703125" customWidth="1"/>
    <col min="4" max="4" width="14.5703125" customWidth="1"/>
    <col min="5" max="5" width="13.5703125" customWidth="1"/>
    <col min="6" max="6" width="14.42578125" customWidth="1"/>
    <col min="7" max="7" width="13.28515625" customWidth="1"/>
    <col min="8" max="8" width="12.7109375" customWidth="1"/>
  </cols>
  <sheetData>
    <row r="1" spans="1:9" ht="15.75">
      <c r="A1" s="19" t="s">
        <v>16</v>
      </c>
    </row>
    <row r="2" spans="1:9" ht="15.75">
      <c r="A2" s="36"/>
    </row>
    <row r="3" spans="1:9" ht="22.5" customHeight="1">
      <c r="A3" s="75" t="s">
        <v>17</v>
      </c>
      <c r="B3" s="75"/>
      <c r="C3" s="75"/>
      <c r="D3" s="75"/>
      <c r="E3" s="75"/>
      <c r="F3" s="75"/>
      <c r="G3" s="75"/>
      <c r="H3" s="75"/>
    </row>
    <row r="4" spans="1:9">
      <c r="A4" s="57" t="s">
        <v>20</v>
      </c>
      <c r="B4" s="57"/>
      <c r="C4" s="57"/>
      <c r="D4" s="57"/>
      <c r="E4" s="57"/>
      <c r="F4" s="57"/>
      <c r="G4" s="57"/>
      <c r="H4" s="57"/>
    </row>
    <row r="5" spans="1:9" ht="15.75">
      <c r="A5" s="58" t="s">
        <v>3</v>
      </c>
      <c r="B5" s="58"/>
      <c r="C5" s="58"/>
      <c r="D5" s="58"/>
      <c r="E5" s="58"/>
      <c r="F5" s="58"/>
      <c r="G5" s="58"/>
      <c r="H5" s="58"/>
    </row>
    <row r="6" spans="1:9" ht="17.25" customHeight="1">
      <c r="A6" s="59" t="s">
        <v>38</v>
      </c>
      <c r="B6" s="58"/>
      <c r="C6" s="58"/>
      <c r="D6" s="58"/>
      <c r="E6" s="58"/>
      <c r="F6" s="58"/>
      <c r="G6" s="58"/>
      <c r="H6" s="58"/>
    </row>
    <row r="7" spans="1:9">
      <c r="A7" s="60" t="s">
        <v>5</v>
      </c>
      <c r="B7" s="60"/>
      <c r="C7" s="60"/>
      <c r="D7" s="62" t="s">
        <v>36</v>
      </c>
      <c r="E7" s="62"/>
      <c r="F7" s="62"/>
      <c r="G7" s="62"/>
      <c r="H7" s="1"/>
    </row>
    <row r="8" spans="1:9">
      <c r="A8" s="60" t="s">
        <v>4</v>
      </c>
      <c r="B8" s="60"/>
      <c r="C8" s="60"/>
      <c r="D8" s="17">
        <f>+SUM(H12:H21)</f>
        <v>1000</v>
      </c>
    </row>
    <row r="9" spans="1:9">
      <c r="A9" s="29" t="s">
        <v>37</v>
      </c>
      <c r="B9" s="29"/>
      <c r="C9" s="29"/>
      <c r="D9" s="17">
        <v>5</v>
      </c>
    </row>
    <row r="10" spans="1:9" ht="12" customHeight="1">
      <c r="A10" s="61" t="s">
        <v>6</v>
      </c>
      <c r="B10" s="61"/>
      <c r="C10" s="61"/>
      <c r="D10" s="61"/>
      <c r="E10" s="61"/>
      <c r="F10" s="61"/>
      <c r="G10" s="61"/>
      <c r="H10" s="61"/>
    </row>
    <row r="11" spans="1:9" s="7" customFormat="1" ht="25.5" customHeight="1">
      <c r="A11" s="22" t="s">
        <v>0</v>
      </c>
      <c r="B11" s="22" t="s">
        <v>1</v>
      </c>
      <c r="C11" s="20" t="s">
        <v>10</v>
      </c>
      <c r="D11" s="20" t="s">
        <v>11</v>
      </c>
      <c r="E11" s="20" t="s">
        <v>12</v>
      </c>
      <c r="F11" s="20" t="s">
        <v>13</v>
      </c>
      <c r="G11" s="20" t="s">
        <v>14</v>
      </c>
      <c r="H11" s="20" t="s">
        <v>2</v>
      </c>
      <c r="I11" s="16"/>
    </row>
    <row r="12" spans="1:9" s="7" customFormat="1" ht="33.75" customHeight="1">
      <c r="A12" s="77" t="s">
        <v>119</v>
      </c>
      <c r="B12" s="77">
        <v>40</v>
      </c>
      <c r="C12" s="80" t="s">
        <v>127</v>
      </c>
      <c r="D12" s="80" t="s">
        <v>127</v>
      </c>
      <c r="E12" s="80" t="s">
        <v>128</v>
      </c>
      <c r="F12" s="80" t="s">
        <v>128</v>
      </c>
      <c r="G12" s="80" t="s">
        <v>128</v>
      </c>
      <c r="H12" s="50">
        <f>+B12*5</f>
        <v>200</v>
      </c>
      <c r="I12" s="16"/>
    </row>
    <row r="13" spans="1:9" s="7" customFormat="1" ht="38.25" customHeight="1">
      <c r="A13" s="77" t="s">
        <v>120</v>
      </c>
      <c r="B13" s="125" t="s">
        <v>30</v>
      </c>
      <c r="C13" s="126"/>
      <c r="D13" s="126"/>
      <c r="E13" s="126"/>
      <c r="F13" s="126"/>
      <c r="G13" s="127"/>
      <c r="H13" s="50"/>
      <c r="I13" s="16"/>
    </row>
    <row r="14" spans="1:9" s="7" customFormat="1" ht="36" customHeight="1">
      <c r="A14" s="77" t="s">
        <v>121</v>
      </c>
      <c r="B14" s="77">
        <v>40</v>
      </c>
      <c r="C14" s="80" t="s">
        <v>129</v>
      </c>
      <c r="D14" s="80" t="s">
        <v>129</v>
      </c>
      <c r="E14" s="80" t="s">
        <v>130</v>
      </c>
      <c r="F14" s="80" t="s">
        <v>129</v>
      </c>
      <c r="G14" s="80" t="s">
        <v>129</v>
      </c>
      <c r="H14" s="50">
        <f>+B14*5</f>
        <v>200</v>
      </c>
      <c r="I14" s="16"/>
    </row>
    <row r="15" spans="1:9" s="7" customFormat="1" ht="33.75" customHeight="1">
      <c r="A15" s="78" t="s">
        <v>122</v>
      </c>
      <c r="B15" s="125" t="s">
        <v>30</v>
      </c>
      <c r="C15" s="126"/>
      <c r="D15" s="126"/>
      <c r="E15" s="126"/>
      <c r="F15" s="126"/>
      <c r="G15" s="127"/>
      <c r="H15" s="50"/>
      <c r="I15" s="16"/>
    </row>
    <row r="16" spans="1:9" s="7" customFormat="1" ht="30" customHeight="1">
      <c r="A16" s="78" t="s">
        <v>123</v>
      </c>
      <c r="B16" s="77">
        <v>40</v>
      </c>
      <c r="C16" s="80" t="s">
        <v>131</v>
      </c>
      <c r="D16" s="80" t="s">
        <v>131</v>
      </c>
      <c r="E16" s="80" t="s">
        <v>131</v>
      </c>
      <c r="F16" s="80" t="s">
        <v>131</v>
      </c>
      <c r="G16" s="80" t="s">
        <v>131</v>
      </c>
      <c r="H16" s="50">
        <f>+B16*5</f>
        <v>200</v>
      </c>
      <c r="I16" s="16"/>
    </row>
    <row r="17" spans="1:9" s="7" customFormat="1" ht="12.75">
      <c r="A17" s="78" t="s">
        <v>124</v>
      </c>
      <c r="B17" s="125" t="s">
        <v>30</v>
      </c>
      <c r="C17" s="126"/>
      <c r="D17" s="126"/>
      <c r="E17" s="126"/>
      <c r="F17" s="126"/>
      <c r="G17" s="127"/>
      <c r="H17" s="42"/>
      <c r="I17" s="16"/>
    </row>
    <row r="18" spans="1:9" s="7" customFormat="1" ht="33.75">
      <c r="A18" s="78" t="s">
        <v>125</v>
      </c>
      <c r="B18" s="77">
        <v>40</v>
      </c>
      <c r="C18" s="80" t="s">
        <v>132</v>
      </c>
      <c r="D18" s="80" t="s">
        <v>132</v>
      </c>
      <c r="E18" s="80" t="s">
        <v>132</v>
      </c>
      <c r="F18" s="80" t="s">
        <v>132</v>
      </c>
      <c r="G18" s="80" t="s">
        <v>132</v>
      </c>
      <c r="H18" s="50">
        <f>+B18*5</f>
        <v>200</v>
      </c>
      <c r="I18" s="16"/>
    </row>
    <row r="19" spans="1:9" s="7" customFormat="1" ht="12.75">
      <c r="A19" s="78" t="s">
        <v>126</v>
      </c>
      <c r="B19" s="125" t="s">
        <v>30</v>
      </c>
      <c r="C19" s="126"/>
      <c r="D19" s="126"/>
      <c r="E19" s="126"/>
      <c r="F19" s="126"/>
      <c r="G19" s="127"/>
      <c r="H19" s="50"/>
      <c r="I19" s="16"/>
    </row>
    <row r="20" spans="1:9" s="7" customFormat="1" ht="33.75">
      <c r="A20" s="78" t="s">
        <v>46</v>
      </c>
      <c r="B20" s="77">
        <v>40</v>
      </c>
      <c r="C20" s="80" t="s">
        <v>133</v>
      </c>
      <c r="D20" s="80" t="s">
        <v>133</v>
      </c>
      <c r="E20" s="80" t="s">
        <v>133</v>
      </c>
      <c r="F20" s="80" t="s">
        <v>133</v>
      </c>
      <c r="G20" s="80" t="s">
        <v>133</v>
      </c>
      <c r="H20" s="50">
        <f>+B20*5</f>
        <v>200</v>
      </c>
      <c r="I20" s="16"/>
    </row>
    <row r="21" spans="1:9" ht="16.5" customHeight="1">
      <c r="A21" s="32"/>
      <c r="B21" s="26"/>
      <c r="C21" s="39"/>
      <c r="D21" s="39"/>
      <c r="E21" s="39"/>
      <c r="F21" s="39"/>
      <c r="G21" s="39"/>
      <c r="H21" s="50"/>
      <c r="I21" s="16"/>
    </row>
    <row r="22" spans="1:9">
      <c r="A22" s="2" t="s">
        <v>7</v>
      </c>
      <c r="C22" s="13"/>
      <c r="H22" s="18"/>
    </row>
    <row r="23" spans="1:9">
      <c r="A23" s="2"/>
      <c r="C23" s="13"/>
      <c r="H23" s="18"/>
    </row>
    <row r="24" spans="1:9">
      <c r="A24" s="63" t="str">
        <f>+D7</f>
        <v>Ms. Racquel S. Vergara</v>
      </c>
      <c r="B24" s="63"/>
      <c r="C24" s="63"/>
      <c r="H24" s="18"/>
    </row>
    <row r="25" spans="1:9">
      <c r="A25" s="65" t="s">
        <v>18</v>
      </c>
      <c r="B25" s="65"/>
      <c r="C25" s="65"/>
      <c r="H25" s="18"/>
    </row>
    <row r="26" spans="1:9">
      <c r="A26" t="s">
        <v>8</v>
      </c>
      <c r="H26" s="18"/>
    </row>
    <row r="27" spans="1:9">
      <c r="A27" s="63" t="s">
        <v>21</v>
      </c>
      <c r="B27" s="63"/>
      <c r="C27" s="63"/>
      <c r="H27" s="18"/>
    </row>
    <row r="28" spans="1:9">
      <c r="A28" s="64" t="s">
        <v>9</v>
      </c>
      <c r="B28" s="64"/>
      <c r="C28" s="64"/>
      <c r="H28" s="18"/>
    </row>
    <row r="29" spans="1:9">
      <c r="H29" s="18"/>
    </row>
  </sheetData>
  <mergeCells count="16">
    <mergeCell ref="B13:G13"/>
    <mergeCell ref="B15:G15"/>
    <mergeCell ref="B17:G17"/>
    <mergeCell ref="B19:G19"/>
    <mergeCell ref="A25:C25"/>
    <mergeCell ref="A27:C27"/>
    <mergeCell ref="A28:C28"/>
    <mergeCell ref="A24:C24"/>
    <mergeCell ref="A3:H3"/>
    <mergeCell ref="A4:H4"/>
    <mergeCell ref="A5:H5"/>
    <mergeCell ref="A6:H6"/>
    <mergeCell ref="A7:C7"/>
    <mergeCell ref="D7:G7"/>
    <mergeCell ref="A8:C8"/>
    <mergeCell ref="A10:H10"/>
  </mergeCells>
  <printOptions horizontalCentered="1"/>
  <pageMargins left="0.70866141732283472" right="0.70866141732283472" top="0.15748031496062992" bottom="0.15748031496062992" header="0.31496062992125984" footer="0.31496062992125984"/>
  <pageSetup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I31"/>
  <sheetViews>
    <sheetView tabSelected="1" view="pageBreakPreview" zoomScale="60" workbookViewId="0">
      <selection activeCell="Q17" sqref="Q17"/>
    </sheetView>
  </sheetViews>
  <sheetFormatPr defaultColWidth="8.85546875" defaultRowHeight="15"/>
  <cols>
    <col min="1" max="1" width="18.140625" customWidth="1"/>
    <col min="2" max="2" width="9.42578125" customWidth="1"/>
    <col min="3" max="3" width="13.85546875" customWidth="1"/>
    <col min="4" max="4" width="12" customWidth="1"/>
    <col min="5" max="5" width="16" customWidth="1"/>
    <col min="6" max="6" width="13.140625" customWidth="1"/>
    <col min="7" max="7" width="13.28515625" customWidth="1"/>
    <col min="8" max="8" width="12.7109375" customWidth="1"/>
  </cols>
  <sheetData>
    <row r="1" spans="1:9" ht="15.75">
      <c r="A1" s="19" t="s">
        <v>16</v>
      </c>
    </row>
    <row r="2" spans="1:9" ht="15.75">
      <c r="A2" s="36"/>
    </row>
    <row r="3" spans="1:9" ht="13.5" customHeight="1">
      <c r="A3" s="75" t="s">
        <v>17</v>
      </c>
      <c r="B3" s="75"/>
      <c r="C3" s="75"/>
      <c r="D3" s="75"/>
      <c r="E3" s="75"/>
      <c r="F3" s="75"/>
      <c r="G3" s="75"/>
      <c r="H3" s="75"/>
    </row>
    <row r="4" spans="1:9">
      <c r="A4" s="57" t="s">
        <v>20</v>
      </c>
      <c r="B4" s="57"/>
      <c r="C4" s="57"/>
      <c r="D4" s="57"/>
      <c r="E4" s="57"/>
      <c r="F4" s="57"/>
      <c r="G4" s="57"/>
      <c r="H4" s="57"/>
    </row>
    <row r="5" spans="1:9" ht="14.25" customHeight="1">
      <c r="A5" s="58" t="s">
        <v>3</v>
      </c>
      <c r="B5" s="58"/>
      <c r="C5" s="58"/>
      <c r="D5" s="58"/>
      <c r="E5" s="58"/>
      <c r="F5" s="58"/>
      <c r="G5" s="58"/>
      <c r="H5" s="58"/>
    </row>
    <row r="6" spans="1:9" ht="17.25" customHeight="1">
      <c r="A6" s="59" t="s">
        <v>38</v>
      </c>
      <c r="B6" s="58"/>
      <c r="C6" s="58"/>
      <c r="D6" s="58"/>
      <c r="E6" s="58"/>
      <c r="F6" s="58"/>
      <c r="G6" s="58"/>
      <c r="H6" s="58"/>
    </row>
    <row r="7" spans="1:9">
      <c r="A7" s="60" t="s">
        <v>5</v>
      </c>
      <c r="B7" s="60"/>
      <c r="C7" s="60"/>
      <c r="D7" s="62" t="s">
        <v>134</v>
      </c>
      <c r="E7" s="62"/>
      <c r="F7" s="62"/>
      <c r="G7" s="62"/>
      <c r="H7" s="143"/>
      <c r="I7" s="143"/>
    </row>
    <row r="8" spans="1:9" hidden="1">
      <c r="A8" s="60" t="s">
        <v>15</v>
      </c>
      <c r="B8" s="60"/>
      <c r="C8" s="60"/>
      <c r="D8" s="14"/>
      <c r="E8" s="14"/>
      <c r="F8" s="14"/>
      <c r="G8" s="3"/>
      <c r="H8" s="144"/>
      <c r="I8" s="145"/>
    </row>
    <row r="9" spans="1:9">
      <c r="A9" s="60" t="s">
        <v>4</v>
      </c>
      <c r="B9" s="60"/>
      <c r="C9" s="60"/>
      <c r="D9" s="17">
        <f>+SUM(H13:H23)</f>
        <v>1500</v>
      </c>
      <c r="H9" s="145"/>
      <c r="I9" s="145"/>
    </row>
    <row r="10" spans="1:9">
      <c r="A10" s="29" t="s">
        <v>37</v>
      </c>
      <c r="B10" s="29"/>
      <c r="C10" s="29"/>
      <c r="D10" s="17">
        <v>5</v>
      </c>
    </row>
    <row r="11" spans="1:9" ht="12" customHeight="1">
      <c r="A11" s="61" t="s">
        <v>6</v>
      </c>
      <c r="B11" s="61"/>
      <c r="C11" s="61"/>
      <c r="D11" s="61"/>
      <c r="E11" s="61"/>
      <c r="F11" s="61"/>
      <c r="G11" s="61"/>
      <c r="H11" s="61"/>
    </row>
    <row r="12" spans="1:9" s="7" customFormat="1" ht="15" customHeight="1">
      <c r="A12" s="11" t="s">
        <v>0</v>
      </c>
      <c r="B12" s="11" t="s">
        <v>1</v>
      </c>
      <c r="C12" s="22" t="s">
        <v>10</v>
      </c>
      <c r="D12" s="11" t="s">
        <v>11</v>
      </c>
      <c r="E12" s="11" t="s">
        <v>12</v>
      </c>
      <c r="F12" s="11" t="s">
        <v>13</v>
      </c>
      <c r="G12" s="11" t="s">
        <v>14</v>
      </c>
      <c r="H12" s="11" t="s">
        <v>2</v>
      </c>
      <c r="I12" s="16"/>
    </row>
    <row r="13" spans="1:9" s="25" customFormat="1" ht="30.75" customHeight="1">
      <c r="A13" s="77" t="s">
        <v>84</v>
      </c>
      <c r="B13" s="77">
        <v>60</v>
      </c>
      <c r="C13" s="80" t="s">
        <v>139</v>
      </c>
      <c r="D13" s="80" t="s">
        <v>139</v>
      </c>
      <c r="E13" s="80" t="s">
        <v>139</v>
      </c>
      <c r="F13" s="80" t="s">
        <v>139</v>
      </c>
      <c r="G13" s="80" t="s">
        <v>139</v>
      </c>
      <c r="H13" s="27">
        <f>+B13*5</f>
        <v>300</v>
      </c>
      <c r="I13" s="24"/>
    </row>
    <row r="14" spans="1:9" s="25" customFormat="1" ht="31.5" customHeight="1">
      <c r="A14" s="77" t="s">
        <v>85</v>
      </c>
      <c r="B14" s="77">
        <v>60</v>
      </c>
      <c r="C14" s="80" t="s">
        <v>140</v>
      </c>
      <c r="D14" s="80" t="s">
        <v>140</v>
      </c>
      <c r="E14" s="80" t="s">
        <v>140</v>
      </c>
      <c r="F14" s="80" t="s">
        <v>140</v>
      </c>
      <c r="G14" s="80" t="s">
        <v>140</v>
      </c>
      <c r="H14" s="27">
        <f>+B14*5</f>
        <v>300</v>
      </c>
      <c r="I14" s="24"/>
    </row>
    <row r="15" spans="1:9" s="25" customFormat="1" ht="15" customHeight="1">
      <c r="A15" s="77" t="s">
        <v>135</v>
      </c>
      <c r="B15" s="122" t="s">
        <v>30</v>
      </c>
      <c r="C15" s="123"/>
      <c r="D15" s="123"/>
      <c r="E15" s="123"/>
      <c r="F15" s="123"/>
      <c r="G15" s="124"/>
      <c r="H15" s="39"/>
      <c r="I15" s="24"/>
    </row>
    <row r="16" spans="1:9" s="25" customFormat="1" ht="32.25" customHeight="1">
      <c r="A16" s="77" t="s">
        <v>29</v>
      </c>
      <c r="B16" s="77">
        <v>60</v>
      </c>
      <c r="C16" s="80" t="s">
        <v>141</v>
      </c>
      <c r="D16" s="80" t="s">
        <v>141</v>
      </c>
      <c r="E16" s="80" t="s">
        <v>141</v>
      </c>
      <c r="F16" s="80" t="s">
        <v>141</v>
      </c>
      <c r="G16" s="80" t="s">
        <v>141</v>
      </c>
      <c r="H16" s="27">
        <f>+B16*5</f>
        <v>300</v>
      </c>
      <c r="I16" s="24"/>
    </row>
    <row r="17" spans="1:9" s="25" customFormat="1" ht="14.25" customHeight="1">
      <c r="A17" s="77" t="s">
        <v>43</v>
      </c>
      <c r="B17" s="122" t="s">
        <v>30</v>
      </c>
      <c r="C17" s="123"/>
      <c r="D17" s="123"/>
      <c r="E17" s="123"/>
      <c r="F17" s="123"/>
      <c r="G17" s="124"/>
      <c r="H17" s="27"/>
      <c r="I17" s="24"/>
    </row>
    <row r="18" spans="1:9" s="25" customFormat="1">
      <c r="A18" s="77" t="s">
        <v>136</v>
      </c>
      <c r="B18" s="79">
        <v>30</v>
      </c>
      <c r="C18" s="128" t="s">
        <v>112</v>
      </c>
      <c r="D18" s="118"/>
      <c r="E18" s="118"/>
      <c r="F18" s="119"/>
      <c r="G18" s="121"/>
      <c r="H18" s="39"/>
      <c r="I18" s="24"/>
    </row>
    <row r="19" spans="1:9" s="25" customFormat="1" ht="15.75" customHeight="1">
      <c r="A19" s="77" t="s">
        <v>122</v>
      </c>
      <c r="B19" s="122" t="s">
        <v>30</v>
      </c>
      <c r="C19" s="123"/>
      <c r="D19" s="123"/>
      <c r="E19" s="123"/>
      <c r="F19" s="123"/>
      <c r="G19" s="124"/>
      <c r="H19" s="27"/>
      <c r="I19" s="24"/>
    </row>
    <row r="20" spans="1:9" s="25" customFormat="1" ht="34.5" customHeight="1">
      <c r="A20" s="77" t="s">
        <v>137</v>
      </c>
      <c r="B20" s="77">
        <v>60</v>
      </c>
      <c r="C20" s="80" t="s">
        <v>142</v>
      </c>
      <c r="D20" s="80" t="s">
        <v>142</v>
      </c>
      <c r="E20" s="80" t="s">
        <v>142</v>
      </c>
      <c r="F20" s="80" t="s">
        <v>142</v>
      </c>
      <c r="G20" s="80" t="s">
        <v>142</v>
      </c>
      <c r="H20" s="27">
        <f>+B20*5</f>
        <v>300</v>
      </c>
      <c r="I20" s="24"/>
    </row>
    <row r="21" spans="1:9" s="25" customFormat="1">
      <c r="A21" s="77" t="s">
        <v>138</v>
      </c>
      <c r="B21" s="122" t="s">
        <v>30</v>
      </c>
      <c r="C21" s="123"/>
      <c r="D21" s="123"/>
      <c r="E21" s="123"/>
      <c r="F21" s="123"/>
      <c r="G21" s="124"/>
      <c r="H21" s="39"/>
      <c r="I21" s="24"/>
    </row>
    <row r="22" spans="1:9" s="25" customFormat="1" ht="32.25" customHeight="1">
      <c r="A22" s="77" t="s">
        <v>76</v>
      </c>
      <c r="B22" s="77">
        <v>60</v>
      </c>
      <c r="C22" s="80" t="s">
        <v>143</v>
      </c>
      <c r="D22" s="80" t="s">
        <v>143</v>
      </c>
      <c r="E22" s="80" t="s">
        <v>143</v>
      </c>
      <c r="F22" s="80" t="s">
        <v>143</v>
      </c>
      <c r="G22" s="80" t="s">
        <v>143</v>
      </c>
      <c r="H22" s="27">
        <f>+B22*5</f>
        <v>300</v>
      </c>
      <c r="I22" s="24"/>
    </row>
    <row r="23" spans="1:9" s="25" customFormat="1">
      <c r="A23" s="45"/>
      <c r="B23" s="46"/>
      <c r="C23" s="121"/>
      <c r="D23" s="121"/>
      <c r="E23" s="121"/>
      <c r="F23" s="121"/>
      <c r="G23" s="121"/>
      <c r="H23" s="39"/>
      <c r="I23" s="24"/>
    </row>
    <row r="24" spans="1:9">
      <c r="A24" s="2" t="s">
        <v>7</v>
      </c>
      <c r="C24" s="13"/>
      <c r="H24" s="18"/>
    </row>
    <row r="25" spans="1:9" ht="9" customHeight="1">
      <c r="A25" s="2"/>
      <c r="C25" s="13"/>
      <c r="H25" s="18"/>
    </row>
    <row r="26" spans="1:9">
      <c r="A26" s="63" t="str">
        <f>+D7</f>
        <v>Ms Beronica   F. Renton</v>
      </c>
      <c r="B26" s="63"/>
      <c r="C26" s="63"/>
      <c r="H26" s="18"/>
    </row>
    <row r="27" spans="1:9">
      <c r="A27" s="65" t="s">
        <v>18</v>
      </c>
      <c r="B27" s="65"/>
      <c r="C27" s="65"/>
      <c r="H27" s="18"/>
    </row>
    <row r="28" spans="1:9">
      <c r="A28" t="s">
        <v>8</v>
      </c>
      <c r="H28" s="18"/>
    </row>
    <row r="29" spans="1:9">
      <c r="A29" s="63" t="s">
        <v>21</v>
      </c>
      <c r="B29" s="63"/>
      <c r="C29" s="63"/>
      <c r="H29" s="18"/>
    </row>
    <row r="30" spans="1:9">
      <c r="A30" s="64" t="s">
        <v>9</v>
      </c>
      <c r="B30" s="64"/>
      <c r="C30" s="64"/>
      <c r="H30" s="18"/>
    </row>
    <row r="31" spans="1:9">
      <c r="H31" s="18"/>
    </row>
  </sheetData>
  <mergeCells count="19">
    <mergeCell ref="C18:F18"/>
    <mergeCell ref="B15:G15"/>
    <mergeCell ref="B17:G17"/>
    <mergeCell ref="B19:G19"/>
    <mergeCell ref="B21:G21"/>
    <mergeCell ref="A27:C27"/>
    <mergeCell ref="A29:C29"/>
    <mergeCell ref="A30:C30"/>
    <mergeCell ref="A26:C26"/>
    <mergeCell ref="A3:H3"/>
    <mergeCell ref="A4:H4"/>
    <mergeCell ref="A5:H5"/>
    <mergeCell ref="A6:H6"/>
    <mergeCell ref="A7:C7"/>
    <mergeCell ref="D7:G7"/>
    <mergeCell ref="A8:C8"/>
    <mergeCell ref="A9:C9"/>
    <mergeCell ref="A11:H11"/>
    <mergeCell ref="H7:I7"/>
  </mergeCells>
  <printOptions horizontalCentered="1"/>
  <pageMargins left="0.70866141732283472" right="0.70866141732283472" top="0.15748031496062992" bottom="0.15748031496062992" header="0.31496062992125984" footer="0.31496062992125984"/>
  <pageSetup scale="10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ALMONTE</vt:lpstr>
      <vt:lpstr>DELA CRUZ</vt:lpstr>
      <vt:lpstr>CAVITT</vt:lpstr>
      <vt:lpstr>CENDANA</vt:lpstr>
      <vt:lpstr>GUINACARAN</vt:lpstr>
      <vt:lpstr>GUIRA</vt:lpstr>
      <vt:lpstr>GUEVARRA.</vt:lpstr>
      <vt:lpstr>RENTON</vt:lpstr>
      <vt:lpstr>ALMONTE!Print_Area</vt:lpstr>
      <vt:lpstr>CAVITT!Print_Area</vt:lpstr>
      <vt:lpstr>CENDANA!Print_Area</vt:lpstr>
      <vt:lpstr>'DELA CRUZ'!Print_Area</vt:lpstr>
      <vt:lpstr>GUEVARRA.!Print_Area</vt:lpstr>
      <vt:lpstr>GUINACARAN!Print_Area</vt:lpstr>
      <vt:lpstr>GUIRA!Print_Area</vt:lpstr>
      <vt:lpstr>RENTON!Print_Area</vt:lpstr>
      <vt:lpstr>ALMONTE!Print_Titles</vt:lpstr>
      <vt:lpstr>CAVITT!Print_Titles</vt:lpstr>
      <vt:lpstr>CENDANA!Print_Titles</vt:lpstr>
      <vt:lpstr>'DELA CRUZ'!Print_Titles</vt:lpstr>
      <vt:lpstr>GUINACARAN!Print_Titles</vt:lpstr>
      <vt:lpstr>GUIRA!Print_Titles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 FAPE Regional 5</dc:creator>
  <cp:lastModifiedBy>Admin</cp:lastModifiedBy>
  <cp:lastPrinted>2026-02-04T03:21:58Z</cp:lastPrinted>
  <dcterms:created xsi:type="dcterms:W3CDTF">2019-01-09T06:12:47Z</dcterms:created>
  <dcterms:modified xsi:type="dcterms:W3CDTF">2026-02-04T03:23:13Z</dcterms:modified>
</cp:coreProperties>
</file>